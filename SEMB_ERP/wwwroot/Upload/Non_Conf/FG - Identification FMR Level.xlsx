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775141\Documents\"/>
    </mc:Choice>
  </mc:AlternateContent>
  <xr:revisionPtr revIDLastSave="0" documentId="8_{0E1ACF0F-3C2F-4364-9480-DB38E63D9BDC}" xr6:coauthVersionLast="47" xr6:coauthVersionMax="47" xr10:uidLastSave="{00000000-0000-0000-0000-000000000000}"/>
  <bookViews>
    <workbookView xWindow="-110" yWindow="-110" windowWidth="19420" windowHeight="11620" xr2:uid="{347008CF-EE88-428F-80F0-5AF513F55835}"/>
  </bookViews>
  <sheets>
    <sheet name="Summary Review.rev)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'Summary Review.rev)'!$B$5:$AI$60</definedName>
    <definedName name="Bin_Type">[1]Master!$A$5:$A$17</definedName>
    <definedName name="ColumnTitle1">#REF!</definedName>
    <definedName name="Display_Week">[3]ProjectSchedule!$E$4</definedName>
    <definedName name="Project_Start">[3]ProjectSchedule!$E$3</definedName>
    <definedName name="TEST1">#REF!</definedName>
    <definedName name="TEST2">#REF!</definedName>
    <definedName name="TEST3">#REF!</definedName>
    <definedName name="TESTHKEY">#REF!</definedName>
    <definedName name="TESTKEYS">#REF!</definedName>
    <definedName name="TESTVKEY">#REF!</definedName>
    <definedName name="valHighlight">IFERROR(IF('[4]KB Calc'!$AB$1="Yes", TRUE, FALSE),FALSE)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0" i="1" l="1"/>
  <c r="Z60" i="1"/>
  <c r="V60" i="1"/>
  <c r="U60" i="1"/>
  <c r="W60" i="1" s="1"/>
  <c r="X60" i="1" s="1"/>
  <c r="AB60" i="1" s="1"/>
  <c r="T60" i="1"/>
  <c r="S60" i="1"/>
  <c r="M60" i="1"/>
  <c r="AA59" i="1"/>
  <c r="Z59" i="1"/>
  <c r="V59" i="1"/>
  <c r="U59" i="1"/>
  <c r="W59" i="1" s="1"/>
  <c r="X59" i="1" s="1"/>
  <c r="AB59" i="1" s="1"/>
  <c r="T59" i="1"/>
  <c r="S59" i="1"/>
  <c r="M59" i="1"/>
  <c r="AA58" i="1"/>
  <c r="Z58" i="1"/>
  <c r="V58" i="1"/>
  <c r="U58" i="1"/>
  <c r="W58" i="1" s="1"/>
  <c r="T58" i="1"/>
  <c r="X58" i="1" s="1"/>
  <c r="AB58" i="1" s="1"/>
  <c r="S58" i="1"/>
  <c r="M58" i="1"/>
  <c r="AA57" i="1"/>
  <c r="Z57" i="1"/>
  <c r="V57" i="1"/>
  <c r="U57" i="1"/>
  <c r="W57" i="1" s="1"/>
  <c r="T57" i="1"/>
  <c r="S57" i="1"/>
  <c r="X57" i="1" s="1"/>
  <c r="AB57" i="1" s="1"/>
  <c r="M57" i="1"/>
  <c r="AA56" i="1"/>
  <c r="Z56" i="1"/>
  <c r="W56" i="1"/>
  <c r="V56" i="1"/>
  <c r="U56" i="1"/>
  <c r="T56" i="1"/>
  <c r="S56" i="1"/>
  <c r="X56" i="1" s="1"/>
  <c r="AB56" i="1" s="1"/>
  <c r="M56" i="1"/>
  <c r="AA55" i="1"/>
  <c r="Z55" i="1"/>
  <c r="W55" i="1"/>
  <c r="X55" i="1" s="1"/>
  <c r="AB55" i="1" s="1"/>
  <c r="V55" i="1"/>
  <c r="U55" i="1"/>
  <c r="T55" i="1"/>
  <c r="S55" i="1"/>
  <c r="M55" i="1"/>
  <c r="V54" i="1"/>
  <c r="AA53" i="1"/>
  <c r="Z53" i="1"/>
  <c r="W53" i="1"/>
  <c r="X53" i="1" s="1"/>
  <c r="AB53" i="1" s="1"/>
  <c r="AD53" i="1" s="1"/>
  <c r="AC53" i="1" s="1"/>
  <c r="AE53" i="1" s="1"/>
  <c r="V53" i="1"/>
  <c r="U53" i="1"/>
  <c r="T53" i="1"/>
  <c r="S53" i="1"/>
  <c r="M53" i="1"/>
  <c r="AA52" i="1"/>
  <c r="Z52" i="1"/>
  <c r="V52" i="1"/>
  <c r="U52" i="1"/>
  <c r="W52" i="1" s="1"/>
  <c r="T52" i="1"/>
  <c r="S52" i="1"/>
  <c r="X52" i="1" s="1"/>
  <c r="P52" i="1"/>
  <c r="N52" i="1"/>
  <c r="R52" i="1" s="1"/>
  <c r="AB52" i="1" s="1"/>
  <c r="M52" i="1"/>
  <c r="L52" i="1"/>
  <c r="AA51" i="1"/>
  <c r="Z51" i="1"/>
  <c r="W51" i="1"/>
  <c r="X51" i="1" s="1"/>
  <c r="AB51" i="1" s="1"/>
  <c r="V51" i="1"/>
  <c r="U51" i="1"/>
  <c r="T51" i="1"/>
  <c r="S51" i="1"/>
  <c r="M51" i="1"/>
  <c r="AA50" i="1"/>
  <c r="Z50" i="1"/>
  <c r="V50" i="1"/>
  <c r="U50" i="1"/>
  <c r="W50" i="1" s="1"/>
  <c r="T50" i="1"/>
  <c r="S50" i="1"/>
  <c r="X50" i="1" s="1"/>
  <c r="AB50" i="1" s="1"/>
  <c r="M50" i="1"/>
  <c r="Z49" i="1"/>
  <c r="V49" i="1"/>
  <c r="U49" i="1"/>
  <c r="W49" i="1" s="1"/>
  <c r="T49" i="1"/>
  <c r="S49" i="1"/>
  <c r="X49" i="1" s="1"/>
  <c r="L49" i="1"/>
  <c r="M49" i="1" s="1"/>
  <c r="AA48" i="1"/>
  <c r="Z48" i="1"/>
  <c r="V48" i="1"/>
  <c r="U48" i="1"/>
  <c r="W48" i="1" s="1"/>
  <c r="T48" i="1"/>
  <c r="S48" i="1"/>
  <c r="R48" i="1"/>
  <c r="O48" i="1"/>
  <c r="N48" i="1"/>
  <c r="M48" i="1"/>
  <c r="AA47" i="1"/>
  <c r="Z47" i="1"/>
  <c r="V47" i="1"/>
  <c r="U47" i="1"/>
  <c r="W47" i="1" s="1"/>
  <c r="T47" i="1"/>
  <c r="S47" i="1"/>
  <c r="X47" i="1" s="1"/>
  <c r="O47" i="1"/>
  <c r="R47" i="1" s="1"/>
  <c r="AB47" i="1" s="1"/>
  <c r="N47" i="1"/>
  <c r="M47" i="1"/>
  <c r="AA46" i="1"/>
  <c r="Z46" i="1"/>
  <c r="V46" i="1"/>
  <c r="U46" i="1"/>
  <c r="W46" i="1" s="1"/>
  <c r="T46" i="1"/>
  <c r="X46" i="1" s="1"/>
  <c r="S46" i="1"/>
  <c r="R46" i="1"/>
  <c r="AB46" i="1" s="1"/>
  <c r="O46" i="1"/>
  <c r="N46" i="1"/>
  <c r="M46" i="1"/>
  <c r="AA45" i="1"/>
  <c r="Z45" i="1"/>
  <c r="V45" i="1"/>
  <c r="U45" i="1"/>
  <c r="W45" i="1" s="1"/>
  <c r="T45" i="1"/>
  <c r="S45" i="1"/>
  <c r="X45" i="1" s="1"/>
  <c r="O45" i="1"/>
  <c r="N45" i="1"/>
  <c r="R45" i="1" s="1"/>
  <c r="M45" i="1"/>
  <c r="AA44" i="1"/>
  <c r="Z44" i="1"/>
  <c r="V44" i="1"/>
  <c r="W44" i="1" s="1"/>
  <c r="X44" i="1" s="1"/>
  <c r="U44" i="1"/>
  <c r="T44" i="1"/>
  <c r="S44" i="1"/>
  <c r="O44" i="1"/>
  <c r="N44" i="1"/>
  <c r="R44" i="1" s="1"/>
  <c r="AB44" i="1" s="1"/>
  <c r="M44" i="1"/>
  <c r="AA43" i="1"/>
  <c r="Z43" i="1"/>
  <c r="W43" i="1"/>
  <c r="X43" i="1" s="1"/>
  <c r="AB43" i="1" s="1"/>
  <c r="V43" i="1"/>
  <c r="U43" i="1"/>
  <c r="T43" i="1"/>
  <c r="S43" i="1"/>
  <c r="R43" i="1"/>
  <c r="O43" i="1"/>
  <c r="N43" i="1"/>
  <c r="M43" i="1"/>
  <c r="AA42" i="1"/>
  <c r="Z42" i="1"/>
  <c r="V42" i="1"/>
  <c r="W42" i="1" s="1"/>
  <c r="X42" i="1" s="1"/>
  <c r="AB42" i="1" s="1"/>
  <c r="U42" i="1"/>
  <c r="T42" i="1"/>
  <c r="S42" i="1"/>
  <c r="R42" i="1"/>
  <c r="O42" i="1"/>
  <c r="N42" i="1"/>
  <c r="M42" i="1"/>
  <c r="AA41" i="1"/>
  <c r="Z41" i="1"/>
  <c r="W41" i="1"/>
  <c r="X41" i="1" s="1"/>
  <c r="V41" i="1"/>
  <c r="U41" i="1"/>
  <c r="T41" i="1"/>
  <c r="S41" i="1"/>
  <c r="O41" i="1"/>
  <c r="N41" i="1"/>
  <c r="R41" i="1" s="1"/>
  <c r="AB41" i="1" s="1"/>
  <c r="M41" i="1"/>
  <c r="AA40" i="1"/>
  <c r="Z40" i="1"/>
  <c r="V40" i="1"/>
  <c r="U40" i="1"/>
  <c r="W40" i="1" s="1"/>
  <c r="X40" i="1" s="1"/>
  <c r="T40" i="1"/>
  <c r="S40" i="1"/>
  <c r="O40" i="1"/>
  <c r="N40" i="1"/>
  <c r="R40" i="1" s="1"/>
  <c r="M40" i="1"/>
  <c r="AA39" i="1"/>
  <c r="Z39" i="1"/>
  <c r="V39" i="1"/>
  <c r="U39" i="1"/>
  <c r="W39" i="1" s="1"/>
  <c r="T39" i="1"/>
  <c r="S39" i="1"/>
  <c r="X39" i="1" s="1"/>
  <c r="O39" i="1"/>
  <c r="N39" i="1"/>
  <c r="R39" i="1" s="1"/>
  <c r="AB39" i="1" s="1"/>
  <c r="M39" i="1"/>
  <c r="AA38" i="1"/>
  <c r="Z38" i="1"/>
  <c r="W38" i="1"/>
  <c r="V38" i="1"/>
  <c r="U38" i="1"/>
  <c r="T38" i="1"/>
  <c r="S38" i="1"/>
  <c r="X38" i="1" s="1"/>
  <c r="AB38" i="1" s="1"/>
  <c r="M38" i="1"/>
  <c r="AA37" i="1"/>
  <c r="Z37" i="1"/>
  <c r="V37" i="1"/>
  <c r="U37" i="1"/>
  <c r="W37" i="1" s="1"/>
  <c r="X37" i="1" s="1"/>
  <c r="AB37" i="1" s="1"/>
  <c r="T37" i="1"/>
  <c r="S37" i="1"/>
  <c r="M37" i="1"/>
  <c r="AA36" i="1"/>
  <c r="Z36" i="1"/>
  <c r="V36" i="1"/>
  <c r="W36" i="1" s="1"/>
  <c r="X36" i="1" s="1"/>
  <c r="AB36" i="1" s="1"/>
  <c r="U36" i="1"/>
  <c r="T36" i="1"/>
  <c r="S36" i="1"/>
  <c r="M36" i="1"/>
  <c r="L36" i="1"/>
  <c r="AA35" i="1"/>
  <c r="Z35" i="1"/>
  <c r="W35" i="1"/>
  <c r="X35" i="1" s="1"/>
  <c r="AB35" i="1" s="1"/>
  <c r="V35" i="1"/>
  <c r="U35" i="1"/>
  <c r="T35" i="1"/>
  <c r="S35" i="1"/>
  <c r="M35" i="1"/>
  <c r="L35" i="1"/>
  <c r="AA34" i="1"/>
  <c r="Z34" i="1"/>
  <c r="V34" i="1"/>
  <c r="W34" i="1" s="1"/>
  <c r="X34" i="1" s="1"/>
  <c r="AB34" i="1" s="1"/>
  <c r="U34" i="1"/>
  <c r="T34" i="1"/>
  <c r="S34" i="1"/>
  <c r="M34" i="1"/>
  <c r="AA33" i="1"/>
  <c r="Z33" i="1"/>
  <c r="V33" i="1"/>
  <c r="U33" i="1"/>
  <c r="W33" i="1" s="1"/>
  <c r="T33" i="1"/>
  <c r="X33" i="1" s="1"/>
  <c r="AB33" i="1" s="1"/>
  <c r="S33" i="1"/>
  <c r="M33" i="1"/>
  <c r="AA32" i="1"/>
  <c r="Z32" i="1"/>
  <c r="V32" i="1"/>
  <c r="U32" i="1"/>
  <c r="W32" i="1" s="1"/>
  <c r="T32" i="1"/>
  <c r="S32" i="1"/>
  <c r="M32" i="1"/>
  <c r="AA31" i="1"/>
  <c r="Z31" i="1"/>
  <c r="V31" i="1"/>
  <c r="U31" i="1"/>
  <c r="W31" i="1" s="1"/>
  <c r="T31" i="1"/>
  <c r="S31" i="1"/>
  <c r="X31" i="1" s="1"/>
  <c r="AB31" i="1" s="1"/>
  <c r="M31" i="1"/>
  <c r="AA30" i="1"/>
  <c r="Z30" i="1"/>
  <c r="V30" i="1"/>
  <c r="U30" i="1"/>
  <c r="W30" i="1" s="1"/>
  <c r="T30" i="1"/>
  <c r="S30" i="1"/>
  <c r="X30" i="1" s="1"/>
  <c r="AB30" i="1" s="1"/>
  <c r="M30" i="1"/>
  <c r="AA29" i="1"/>
  <c r="Z29" i="1"/>
  <c r="W29" i="1"/>
  <c r="V29" i="1"/>
  <c r="U29" i="1"/>
  <c r="T29" i="1"/>
  <c r="S29" i="1"/>
  <c r="X29" i="1" s="1"/>
  <c r="AB29" i="1" s="1"/>
  <c r="M29" i="1"/>
  <c r="AA28" i="1"/>
  <c r="Z28" i="1"/>
  <c r="V28" i="1"/>
  <c r="U28" i="1"/>
  <c r="W28" i="1" s="1"/>
  <c r="X28" i="1" s="1"/>
  <c r="AB28" i="1" s="1"/>
  <c r="T28" i="1"/>
  <c r="S28" i="1"/>
  <c r="M28" i="1"/>
  <c r="AA27" i="1"/>
  <c r="Z27" i="1"/>
  <c r="V27" i="1"/>
  <c r="W27" i="1" s="1"/>
  <c r="X27" i="1" s="1"/>
  <c r="AB27" i="1" s="1"/>
  <c r="U27" i="1"/>
  <c r="T27" i="1"/>
  <c r="S27" i="1"/>
  <c r="M27" i="1"/>
  <c r="AA26" i="1"/>
  <c r="Z26" i="1"/>
  <c r="V26" i="1"/>
  <c r="W26" i="1" s="1"/>
  <c r="U26" i="1"/>
  <c r="T26" i="1"/>
  <c r="X26" i="1" s="1"/>
  <c r="AB26" i="1" s="1"/>
  <c r="S26" i="1"/>
  <c r="M26" i="1"/>
  <c r="AA25" i="1"/>
  <c r="Z25" i="1"/>
  <c r="V25" i="1"/>
  <c r="U25" i="1"/>
  <c r="W25" i="1" s="1"/>
  <c r="T25" i="1"/>
  <c r="X25" i="1" s="1"/>
  <c r="S25" i="1"/>
  <c r="R25" i="1"/>
  <c r="AB25" i="1" s="1"/>
  <c r="O25" i="1"/>
  <c r="N25" i="1"/>
  <c r="M25" i="1"/>
  <c r="AA24" i="1"/>
  <c r="Z24" i="1"/>
  <c r="V24" i="1"/>
  <c r="U24" i="1"/>
  <c r="W24" i="1" s="1"/>
  <c r="T24" i="1"/>
  <c r="S24" i="1"/>
  <c r="X24" i="1" s="1"/>
  <c r="AB24" i="1" s="1"/>
  <c r="M24" i="1"/>
  <c r="AA23" i="1"/>
  <c r="Z23" i="1"/>
  <c r="V23" i="1"/>
  <c r="U23" i="1"/>
  <c r="W23" i="1" s="1"/>
  <c r="T23" i="1"/>
  <c r="S23" i="1"/>
  <c r="X23" i="1" s="1"/>
  <c r="AB23" i="1" s="1"/>
  <c r="M23" i="1"/>
  <c r="AA22" i="1"/>
  <c r="Z22" i="1"/>
  <c r="V22" i="1"/>
  <c r="U22" i="1"/>
  <c r="W22" i="1" s="1"/>
  <c r="T22" i="1"/>
  <c r="S22" i="1"/>
  <c r="X22" i="1" s="1"/>
  <c r="AB22" i="1" s="1"/>
  <c r="M22" i="1"/>
  <c r="AA21" i="1"/>
  <c r="Z21" i="1"/>
  <c r="V21" i="1"/>
  <c r="U21" i="1"/>
  <c r="W21" i="1" s="1"/>
  <c r="T21" i="1"/>
  <c r="S21" i="1"/>
  <c r="M21" i="1"/>
  <c r="AA20" i="1"/>
  <c r="Z20" i="1"/>
  <c r="W20" i="1"/>
  <c r="V20" i="1"/>
  <c r="U20" i="1"/>
  <c r="T20" i="1"/>
  <c r="S20" i="1"/>
  <c r="X20" i="1" s="1"/>
  <c r="AB20" i="1" s="1"/>
  <c r="M20" i="1"/>
  <c r="AA19" i="1"/>
  <c r="Z19" i="1"/>
  <c r="V19" i="1"/>
  <c r="U19" i="1"/>
  <c r="W19" i="1" s="1"/>
  <c r="T19" i="1"/>
  <c r="S19" i="1"/>
  <c r="M19" i="1"/>
  <c r="AA18" i="1"/>
  <c r="Z18" i="1"/>
  <c r="W18" i="1"/>
  <c r="X18" i="1" s="1"/>
  <c r="AB18" i="1" s="1"/>
  <c r="V18" i="1"/>
  <c r="U18" i="1"/>
  <c r="T18" i="1"/>
  <c r="S18" i="1"/>
  <c r="M18" i="1"/>
  <c r="AA17" i="1"/>
  <c r="Z17" i="1"/>
  <c r="V17" i="1"/>
  <c r="U17" i="1"/>
  <c r="W17" i="1" s="1"/>
  <c r="X17" i="1" s="1"/>
  <c r="AB17" i="1" s="1"/>
  <c r="T17" i="1"/>
  <c r="S17" i="1"/>
  <c r="M17" i="1"/>
  <c r="AA16" i="1"/>
  <c r="Z16" i="1"/>
  <c r="V16" i="1"/>
  <c r="U16" i="1"/>
  <c r="W16" i="1" s="1"/>
  <c r="T16" i="1"/>
  <c r="S16" i="1"/>
  <c r="X16" i="1" s="1"/>
  <c r="AB16" i="1" s="1"/>
  <c r="M16" i="1"/>
  <c r="AA15" i="1"/>
  <c r="Z15" i="1"/>
  <c r="V15" i="1"/>
  <c r="U15" i="1"/>
  <c r="W15" i="1" s="1"/>
  <c r="T15" i="1"/>
  <c r="S15" i="1"/>
  <c r="X15" i="1" s="1"/>
  <c r="O15" i="1"/>
  <c r="R15" i="1" s="1"/>
  <c r="AB15" i="1" s="1"/>
  <c r="N15" i="1"/>
  <c r="M15" i="1"/>
  <c r="AA14" i="1"/>
  <c r="Z14" i="1"/>
  <c r="V14" i="1"/>
  <c r="U14" i="1"/>
  <c r="W14" i="1" s="1"/>
  <c r="T14" i="1"/>
  <c r="X14" i="1" s="1"/>
  <c r="AB14" i="1" s="1"/>
  <c r="S14" i="1"/>
  <c r="M14" i="1"/>
  <c r="AA13" i="1"/>
  <c r="Z13" i="1"/>
  <c r="V13" i="1"/>
  <c r="U13" i="1"/>
  <c r="W13" i="1" s="1"/>
  <c r="T13" i="1"/>
  <c r="S13" i="1"/>
  <c r="X13" i="1" s="1"/>
  <c r="AB13" i="1" s="1"/>
  <c r="M13" i="1"/>
  <c r="AA12" i="1"/>
  <c r="Z12" i="1"/>
  <c r="V12" i="1"/>
  <c r="U12" i="1"/>
  <c r="W12" i="1" s="1"/>
  <c r="T12" i="1"/>
  <c r="S12" i="1"/>
  <c r="X12" i="1" s="1"/>
  <c r="AB12" i="1" s="1"/>
  <c r="M12" i="1"/>
  <c r="AA11" i="1"/>
  <c r="Z11" i="1"/>
  <c r="V11" i="1"/>
  <c r="U11" i="1"/>
  <c r="W11" i="1" s="1"/>
  <c r="T11" i="1"/>
  <c r="S11" i="1"/>
  <c r="X11" i="1" s="1"/>
  <c r="AB11" i="1" s="1"/>
  <c r="M11" i="1"/>
  <c r="AA10" i="1"/>
  <c r="Z10" i="1"/>
  <c r="W10" i="1"/>
  <c r="V10" i="1"/>
  <c r="U10" i="1"/>
  <c r="T10" i="1"/>
  <c r="S10" i="1"/>
  <c r="X10" i="1" s="1"/>
  <c r="AB10" i="1" s="1"/>
  <c r="M10" i="1"/>
  <c r="AA9" i="1"/>
  <c r="Z9" i="1"/>
  <c r="V9" i="1"/>
  <c r="U9" i="1"/>
  <c r="W9" i="1" s="1"/>
  <c r="X9" i="1" s="1"/>
  <c r="AB9" i="1" s="1"/>
  <c r="T9" i="1"/>
  <c r="S9" i="1"/>
  <c r="M9" i="1"/>
  <c r="AA8" i="1"/>
  <c r="Z8" i="1"/>
  <c r="V8" i="1"/>
  <c r="W8" i="1" s="1"/>
  <c r="X8" i="1" s="1"/>
  <c r="AB8" i="1" s="1"/>
  <c r="U8" i="1"/>
  <c r="T8" i="1"/>
  <c r="S8" i="1"/>
  <c r="M8" i="1"/>
  <c r="AA7" i="1"/>
  <c r="Z7" i="1"/>
  <c r="V7" i="1"/>
  <c r="W7" i="1" s="1"/>
  <c r="U7" i="1"/>
  <c r="T7" i="1"/>
  <c r="X7" i="1" s="1"/>
  <c r="AB7" i="1" s="1"/>
  <c r="S7" i="1"/>
  <c r="M7" i="1"/>
  <c r="AA6" i="1"/>
  <c r="Z6" i="1"/>
  <c r="V6" i="1"/>
  <c r="U6" i="1"/>
  <c r="W6" i="1" s="1"/>
  <c r="T6" i="1"/>
  <c r="S6" i="1"/>
  <c r="X6" i="1" s="1"/>
  <c r="R6" i="1"/>
  <c r="P6" i="1"/>
  <c r="O6" i="1"/>
  <c r="N6" i="1"/>
  <c r="M6" i="1"/>
  <c r="AF58" i="1" l="1"/>
  <c r="AE58" i="1" s="1"/>
  <c r="AC58" i="1"/>
  <c r="AC8" i="1"/>
  <c r="AF8" i="1"/>
  <c r="AE8" i="1" s="1"/>
  <c r="AH8" i="1"/>
  <c r="AH13" i="1"/>
  <c r="AF13" i="1"/>
  <c r="AE13" i="1" s="1"/>
  <c r="AC13" i="1"/>
  <c r="AC43" i="1"/>
  <c r="AH43" i="1"/>
  <c r="AF43" i="1"/>
  <c r="AE43" i="1" s="1"/>
  <c r="AF60" i="1"/>
  <c r="AE60" i="1" s="1"/>
  <c r="AC60" i="1"/>
  <c r="AH44" i="1"/>
  <c r="AF44" i="1"/>
  <c r="AE44" i="1" s="1"/>
  <c r="AC44" i="1"/>
  <c r="AF55" i="1"/>
  <c r="AE55" i="1" s="1"/>
  <c r="AC55" i="1"/>
  <c r="AH47" i="1"/>
  <c r="AF47" i="1"/>
  <c r="AE47" i="1" s="1"/>
  <c r="AC47" i="1"/>
  <c r="AH36" i="1"/>
  <c r="AC36" i="1"/>
  <c r="AF36" i="1"/>
  <c r="AE36" i="1" s="1"/>
  <c r="AC28" i="1"/>
  <c r="AH28" i="1"/>
  <c r="AF28" i="1"/>
  <c r="AE28" i="1" s="1"/>
  <c r="AH22" i="1"/>
  <c r="AF22" i="1"/>
  <c r="AE22" i="1" s="1"/>
  <c r="AC22" i="1"/>
  <c r="AC51" i="1"/>
  <c r="AF51" i="1"/>
  <c r="AE51" i="1" s="1"/>
  <c r="AH51" i="1"/>
  <c r="AC41" i="1"/>
  <c r="AH41" i="1"/>
  <c r="AF41" i="1"/>
  <c r="AE41" i="1" s="1"/>
  <c r="AH33" i="1"/>
  <c r="AF33" i="1"/>
  <c r="AE33" i="1" s="1"/>
  <c r="AC33" i="1"/>
  <c r="AH31" i="1"/>
  <c r="AF31" i="1"/>
  <c r="AE31" i="1" s="1"/>
  <c r="AC31" i="1"/>
  <c r="AH16" i="1"/>
  <c r="AC16" i="1"/>
  <c r="AF16" i="1"/>
  <c r="AE16" i="1" s="1"/>
  <c r="AH29" i="1"/>
  <c r="AF29" i="1"/>
  <c r="AE29" i="1" s="1"/>
  <c r="AC29" i="1"/>
  <c r="AH46" i="1"/>
  <c r="AF46" i="1"/>
  <c r="AE46" i="1" s="1"/>
  <c r="AC46" i="1"/>
  <c r="AH52" i="1"/>
  <c r="AF52" i="1"/>
  <c r="AE52" i="1" s="1"/>
  <c r="AC52" i="1"/>
  <c r="AH18" i="1"/>
  <c r="AC18" i="1"/>
  <c r="AF18" i="1"/>
  <c r="AE18" i="1" s="1"/>
  <c r="AH23" i="1"/>
  <c r="AF23" i="1"/>
  <c r="AE23" i="1" s="1"/>
  <c r="AC23" i="1"/>
  <c r="AF59" i="1"/>
  <c r="AE59" i="1" s="1"/>
  <c r="AC59" i="1"/>
  <c r="AB40" i="1"/>
  <c r="X48" i="1"/>
  <c r="AB48" i="1" s="1"/>
  <c r="AC34" i="1"/>
  <c r="AH34" i="1"/>
  <c r="AF34" i="1"/>
  <c r="AE34" i="1" s="1"/>
  <c r="AC30" i="1"/>
  <c r="AF30" i="1"/>
  <c r="AE30" i="1" s="1"/>
  <c r="AH30" i="1"/>
  <c r="AF17" i="1"/>
  <c r="AE17" i="1" s="1"/>
  <c r="AC17" i="1"/>
  <c r="AH17" i="1"/>
  <c r="AH11" i="1"/>
  <c r="AC11" i="1"/>
  <c r="AF11" i="1"/>
  <c r="AE11" i="1" s="1"/>
  <c r="AC39" i="1"/>
  <c r="AH39" i="1"/>
  <c r="AF39" i="1"/>
  <c r="AE39" i="1" s="1"/>
  <c r="AC20" i="1"/>
  <c r="AH20" i="1"/>
  <c r="AF20" i="1"/>
  <c r="AE20" i="1" s="1"/>
  <c r="AC7" i="1"/>
  <c r="AH7" i="1"/>
  <c r="AF7" i="1"/>
  <c r="AE7" i="1" s="1"/>
  <c r="AH10" i="1"/>
  <c r="AF10" i="1"/>
  <c r="AE10" i="1" s="1"/>
  <c r="AC10" i="1"/>
  <c r="AH25" i="1"/>
  <c r="AF25" i="1"/>
  <c r="AE25" i="1" s="1"/>
  <c r="AC25" i="1"/>
  <c r="AF57" i="1"/>
  <c r="AE57" i="1" s="1"/>
  <c r="AC57" i="1"/>
  <c r="X21" i="1"/>
  <c r="AB21" i="1" s="1"/>
  <c r="AF27" i="1"/>
  <c r="AE27" i="1" s="1"/>
  <c r="AH27" i="1"/>
  <c r="AC27" i="1"/>
  <c r="AB45" i="1"/>
  <c r="AF15" i="1"/>
  <c r="AE15" i="1" s="1"/>
  <c r="AH15" i="1"/>
  <c r="AC15" i="1"/>
  <c r="AH24" i="1"/>
  <c r="AF24" i="1"/>
  <c r="AE24" i="1" s="1"/>
  <c r="AC24" i="1"/>
  <c r="AF56" i="1"/>
  <c r="AE56" i="1" s="1"/>
  <c r="AC56" i="1"/>
  <c r="AH26" i="1"/>
  <c r="AF26" i="1"/>
  <c r="AE26" i="1" s="1"/>
  <c r="AC26" i="1"/>
  <c r="AC42" i="1"/>
  <c r="AH42" i="1"/>
  <c r="AF42" i="1"/>
  <c r="AE42" i="1" s="1"/>
  <c r="AH9" i="1"/>
  <c r="AF9" i="1"/>
  <c r="AE9" i="1" s="1"/>
  <c r="AC9" i="1"/>
  <c r="AH37" i="1"/>
  <c r="AC37" i="1"/>
  <c r="AF37" i="1"/>
  <c r="AE37" i="1" s="1"/>
  <c r="AC35" i="1"/>
  <c r="AF35" i="1"/>
  <c r="AE35" i="1" s="1"/>
  <c r="AH35" i="1"/>
  <c r="AH14" i="1"/>
  <c r="AF14" i="1"/>
  <c r="AE14" i="1" s="1"/>
  <c r="AC14" i="1"/>
  <c r="AH50" i="1"/>
  <c r="AF50" i="1"/>
  <c r="AE50" i="1" s="1"/>
  <c r="AC50" i="1"/>
  <c r="AH12" i="1"/>
  <c r="AF12" i="1"/>
  <c r="AE12" i="1" s="1"/>
  <c r="AC12" i="1"/>
  <c r="AH38" i="1"/>
  <c r="AF38" i="1"/>
  <c r="AE38" i="1" s="1"/>
  <c r="AC38" i="1"/>
  <c r="AB6" i="1"/>
  <c r="X19" i="1"/>
  <c r="AB19" i="1" s="1"/>
  <c r="X32" i="1"/>
  <c r="AB32" i="1" s="1"/>
  <c r="AB49" i="1"/>
  <c r="AA49" i="1"/>
  <c r="AH48" i="1" l="1"/>
  <c r="AF48" i="1"/>
  <c r="AE48" i="1" s="1"/>
  <c r="AC48" i="1"/>
  <c r="AF19" i="1"/>
  <c r="AE19" i="1" s="1"/>
  <c r="AC19" i="1"/>
  <c r="AH19" i="1"/>
  <c r="AF21" i="1"/>
  <c r="AE21" i="1" s="1"/>
  <c r="AC21" i="1"/>
  <c r="AH21" i="1"/>
  <c r="AH40" i="1"/>
  <c r="AF40" i="1"/>
  <c r="AE40" i="1" s="1"/>
  <c r="AC40" i="1"/>
  <c r="AH32" i="1"/>
  <c r="AF32" i="1"/>
  <c r="AE32" i="1" s="1"/>
  <c r="AC32" i="1"/>
  <c r="AH6" i="1"/>
  <c r="AF6" i="1"/>
  <c r="AE6" i="1" s="1"/>
  <c r="AC6" i="1"/>
  <c r="AH45" i="1"/>
  <c r="AF45" i="1"/>
  <c r="AE45" i="1" s="1"/>
  <c r="AC45" i="1"/>
  <c r="AH49" i="1"/>
  <c r="AF49" i="1"/>
  <c r="AE49" i="1" s="1"/>
  <c r="AC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tc={81D8601B-F8B0-4EE9-878A-22F74EA74D5B}</author>
  </authors>
  <commentList>
    <comment ref="U5" authorId="0" shapeId="0" xr:uid="{81D8601B-F8B0-4EE9-878A-22F74EA74D5B}">
      <text>
        <t>[Threaded comment]
Your version of Excel allows you to read this threaded comment; however, any edits to it will get removed if the file is opened in a newer version of Excel. Learn more: https://go.microsoft.com/fwlink/?linkid=870924
Comment:
    Beam + Pallet =30 cm</t>
      </text>
    </comment>
  </commentList>
</comments>
</file>

<file path=xl/sharedStrings.xml><?xml version="1.0" encoding="utf-8"?>
<sst xmlns="http://schemas.openxmlformats.org/spreadsheetml/2006/main" count="465" uniqueCount="89">
  <si>
    <t>Identification Rack BLP - Commodity and FMR Level</t>
  </si>
  <si>
    <t>Rack</t>
  </si>
  <si>
    <t>Column</t>
  </si>
  <si>
    <t>Rack Colour</t>
  </si>
  <si>
    <t>No of Column</t>
  </si>
  <si>
    <t>No of Level</t>
  </si>
  <si>
    <t>Bin Type</t>
  </si>
  <si>
    <t>Lot</t>
  </si>
  <si>
    <t>Rack Type</t>
  </si>
  <si>
    <t>Sub Total Column</t>
  </si>
  <si>
    <t xml:space="preserve">Total Design Column Vol. (CBM) </t>
  </si>
  <si>
    <t>Sub total Volume 
(CBM)</t>
  </si>
  <si>
    <t>Occupancy
       %      I      CBM</t>
  </si>
  <si>
    <t>Free Occupancy
       %    I      CBM</t>
  </si>
  <si>
    <t>Commodity</t>
  </si>
  <si>
    <t>FMR Level</t>
  </si>
  <si>
    <t>Length (M)</t>
  </si>
  <si>
    <t>Width (M)</t>
  </si>
  <si>
    <t>Height (M)</t>
  </si>
  <si>
    <t>Heigh Column</t>
  </si>
  <si>
    <t>Remarks</t>
  </si>
  <si>
    <t>Total Unused Vol. (CBM)</t>
  </si>
  <si>
    <t>High Beam (M)</t>
  </si>
  <si>
    <t>high of buffer space on the top of pallet (M)</t>
  </si>
  <si>
    <t xml:space="preserve">Total Unused Vol. </t>
  </si>
  <si>
    <t>Utilization (%)</t>
  </si>
  <si>
    <t># Empty Tier</t>
  </si>
  <si>
    <t>Vol/tier</t>
  </si>
  <si>
    <t>F</t>
  </si>
  <si>
    <t>M</t>
  </si>
  <si>
    <t>R</t>
  </si>
  <si>
    <t>A-W</t>
  </si>
  <si>
    <t>Orange</t>
  </si>
  <si>
    <t>Racking</t>
  </si>
  <si>
    <t>Lot 15</t>
  </si>
  <si>
    <t>Non-AC</t>
  </si>
  <si>
    <t>x</t>
  </si>
  <si>
    <t>- Bulky 
- Heavy 
- Magnet Circuit</t>
  </si>
  <si>
    <t>1-3</t>
  </si>
  <si>
    <t>Shelving</t>
  </si>
  <si>
    <t>- Metal
- Plastic
- Izumi</t>
  </si>
  <si>
    <t>4-6</t>
  </si>
  <si>
    <t>7-9</t>
  </si>
  <si>
    <t>A-B</t>
  </si>
  <si>
    <t>- Material PEL</t>
  </si>
  <si>
    <t>7-8</t>
  </si>
  <si>
    <t>AC</t>
  </si>
  <si>
    <t>- PCBA Auto
- LCD
- Power Module
- EE Part
- Izumi</t>
  </si>
  <si>
    <t>4-7</t>
  </si>
  <si>
    <t>8-10</t>
  </si>
  <si>
    <t>C-T</t>
  </si>
  <si>
    <t>4-5</t>
  </si>
  <si>
    <t>6-7</t>
  </si>
  <si>
    <t>1-2</t>
  </si>
  <si>
    <t>3-4</t>
  </si>
  <si>
    <t>A-D</t>
  </si>
  <si>
    <t>Shelving/Racking</t>
  </si>
  <si>
    <t>AC / Precious</t>
  </si>
  <si>
    <t>- Precious Part</t>
  </si>
  <si>
    <t>A-F</t>
  </si>
  <si>
    <t>A-E</t>
  </si>
  <si>
    <t>A-C</t>
  </si>
  <si>
    <t>A-G</t>
  </si>
  <si>
    <t>Lot 16</t>
  </si>
  <si>
    <t>- Bulky (3-5)
- Heavy (level 1-2)</t>
  </si>
  <si>
    <t>A-X</t>
  </si>
  <si>
    <t>- Bulky
- Heavy</t>
  </si>
  <si>
    <t>A0-X</t>
  </si>
  <si>
    <t>Blue</t>
  </si>
  <si>
    <t>- Metal
- Paper
- Rubber</t>
  </si>
  <si>
    <t>- Metal
- Cable</t>
  </si>
  <si>
    <t>B-X</t>
  </si>
  <si>
    <t>- Plastic</t>
  </si>
  <si>
    <t>- Plastic
- Material PEL</t>
  </si>
  <si>
    <t>- PCBA PEL
- THT</t>
  </si>
  <si>
    <t>- PCBA PEL</t>
  </si>
  <si>
    <t>- EE Part</t>
  </si>
  <si>
    <t>- LCD</t>
  </si>
  <si>
    <t>- Power Module
- LCD
- Material Project AC</t>
  </si>
  <si>
    <t>Non-AC precious</t>
  </si>
  <si>
    <t>5-6</t>
  </si>
  <si>
    <t>- Line Zenzai (small package)</t>
  </si>
  <si>
    <t>- Power Module</t>
  </si>
  <si>
    <t>A-H</t>
  </si>
  <si>
    <t>- Spare Rack</t>
  </si>
  <si>
    <t>Fix Bin</t>
  </si>
  <si>
    <t>- Paper
- Label
- Small Package</t>
  </si>
  <si>
    <t>Canopy</t>
  </si>
  <si>
    <t>- Packing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</si>
</sst>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0"/>
    <numFmt numFmtId="168" formatCode="0.0"/>
    <numFmt numFmtId="169" formatCode="_-* #,##0_-;\-* #,##0_-;_-* &quot;-&quot;?_-;_-@_-"/>
    <numFmt numFmtId="170" formatCode="_-* #,##0.0_-;\-* #,##0.0_-;_-* &quot;-&quot;??_-;_-@_-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b/>
      <u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3333FF"/>
      <name val="Calibri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5" fillId="2" borderId="2" xfId="3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9" fontId="5" fillId="2" borderId="2" xfId="4" applyFont="1" applyFill="1" applyBorder="1" applyAlignment="1">
      <alignment horizontal="center" vertical="center" wrapText="1"/>
    </xf>
    <xf numFmtId="165" fontId="6" fillId="2" borderId="2" xfId="5" applyNumberFormat="1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5" fillId="2" borderId="6" xfId="3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 wrapText="1"/>
    </xf>
    <xf numFmtId="9" fontId="5" fillId="2" borderId="1" xfId="4" applyFont="1" applyFill="1" applyBorder="1" applyAlignment="1">
      <alignment horizontal="center" vertical="center" wrapText="1"/>
    </xf>
    <xf numFmtId="9" fontId="5" fillId="2" borderId="6" xfId="4" applyFont="1" applyFill="1" applyBorder="1" applyAlignment="1">
      <alignment horizontal="center" vertical="center" wrapText="1"/>
    </xf>
    <xf numFmtId="165" fontId="6" fillId="2" borderId="6" xfId="5" applyNumberFormat="1" applyFont="1" applyFill="1" applyBorder="1" applyAlignment="1">
      <alignment horizontal="center" vertical="center" wrapText="1"/>
    </xf>
    <xf numFmtId="166" fontId="0" fillId="2" borderId="1" xfId="5" applyNumberFormat="1" applyFont="1" applyFill="1" applyBorder="1" applyAlignment="1">
      <alignment horizontal="center" vertical="center" wrapText="1"/>
    </xf>
    <xf numFmtId="0" fontId="4" fillId="2" borderId="1" xfId="3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167" fontId="2" fillId="0" borderId="1" xfId="2" applyNumberFormat="1" applyBorder="1" applyAlignment="1">
      <alignment horizontal="center" vertical="center"/>
    </xf>
    <xf numFmtId="0" fontId="4" fillId="0" borderId="1" xfId="3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164" fontId="0" fillId="0" borderId="1" xfId="5" applyFont="1" applyBorder="1" applyAlignment="1">
      <alignment horizontal="center" vertical="center"/>
    </xf>
    <xf numFmtId="168" fontId="4" fillId="0" borderId="1" xfId="3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" fontId="4" fillId="0" borderId="1" xfId="3" applyNumberFormat="1" applyBorder="1" applyAlignment="1">
      <alignment horizontal="center" vertical="center"/>
    </xf>
    <xf numFmtId="165" fontId="0" fillId="0" borderId="1" xfId="5" applyNumberFormat="1" applyFont="1" applyBorder="1" applyAlignment="1">
      <alignment horizontal="center" vertical="center"/>
    </xf>
    <xf numFmtId="169" fontId="4" fillId="0" borderId="1" xfId="3" applyNumberFormat="1" applyBorder="1" applyAlignment="1">
      <alignment horizontal="center" vertical="center"/>
    </xf>
    <xf numFmtId="166" fontId="0" fillId="3" borderId="1" xfId="5" applyNumberFormat="1" applyFont="1" applyFill="1" applyBorder="1" applyAlignment="1">
      <alignment horizontal="center" vertical="center"/>
    </xf>
    <xf numFmtId="170" fontId="4" fillId="0" borderId="1" xfId="3" applyNumberFormat="1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1" xfId="3" applyFill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5" borderId="1" xfId="3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167" fontId="2" fillId="0" borderId="1" xfId="2" applyNumberFormat="1" applyFill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</cellXfs>
  <cellStyles count="6">
    <cellStyle name="Comma 2" xfId="5" xr:uid="{39246998-E869-4936-9DB3-1DF09A990A06}"/>
    <cellStyle name="Hyperlink" xfId="2" builtinId="8"/>
    <cellStyle name="Normal" xfId="0" builtinId="0"/>
    <cellStyle name="Normal 3" xfId="3" xr:uid="{1C1B5D27-6EF2-427B-B28C-766D4927210E}"/>
    <cellStyle name="Percent" xfId="1" builtinId="5"/>
    <cellStyle name="Percent 3" xfId="4" xr:uid="{8BD7D68F-F776-4031-9D3F-5BF4B5444FE0}"/>
  </cellStyles>
  <dxfs count="11">
    <dxf>
      <fill>
        <patternFill>
          <bgColor rgb="FFFF7979"/>
        </patternFill>
      </fill>
    </dxf>
    <dxf>
      <fill>
        <patternFill>
          <bgColor rgb="FFF2E88E"/>
        </patternFill>
      </fill>
    </dxf>
    <dxf>
      <fill>
        <patternFill>
          <bgColor rgb="FF7DFF7D"/>
        </patternFill>
      </fill>
    </dxf>
    <dxf>
      <fill>
        <patternFill>
          <bgColor rgb="FFFF7979"/>
        </patternFill>
      </fill>
    </dxf>
    <dxf>
      <fill>
        <patternFill>
          <bgColor rgb="FFF2E88E"/>
        </patternFill>
      </fill>
    </dxf>
    <dxf>
      <fill>
        <patternFill>
          <bgColor rgb="FF7DFF7D"/>
        </patternFill>
      </fill>
    </dxf>
    <dxf>
      <fill>
        <patternFill>
          <bgColor theme="7" tint="0.59996337778862885"/>
        </patternFill>
      </fill>
    </dxf>
    <dxf>
      <fill>
        <patternFill>
          <bgColor rgb="FF66FF99"/>
        </patternFill>
      </fill>
    </dxf>
    <dxf>
      <fill>
        <patternFill>
          <bgColor rgb="FFFF7979"/>
        </patternFill>
      </fill>
    </dxf>
    <dxf>
      <fill>
        <patternFill>
          <bgColor rgb="FFF2E88E"/>
        </patternFill>
      </fill>
    </dxf>
    <dxf>
      <fill>
        <patternFill>
          <bgColor rgb="FF7DFF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schneiderelectric-my.sharepoint.com/sites/Method-SEMBGroup/Shared%20Documents/METHOD%20Batam/Method%20-%20PEM/03%20KANBAN/INTERNAL/2023/Project/MPH%20Kanban%20Animation%20-%20GSC%20International%20Project/Worksheet%20in%20MPH%20animation_SEMB%20PEM.xlsx?5EB99012" TargetMode="External"/><Relationship Id="rId1" Type="http://schemas.openxmlformats.org/officeDocument/2006/relationships/externalLinkPath" Target="file:///\\5EB99012\Worksheet%20in%20MPH%20animation_SEMB%20PE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NDIKA\Project\FMR%20Review%20-%20Commodity\Identification%20Rack%20BLP%20-%20Commodity%20and%20FMR%20Level.xlsx" TargetMode="External"/><Relationship Id="rId1" Type="http://schemas.openxmlformats.org/officeDocument/2006/relationships/externalLinkPath" Target="file:///D:\ANDIKA\Project\FMR%20Review%20-%20Commodity\Identification%20Rack%20BLP%20-%20Commodity%20and%20FMR%20Leve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chneiderelectric-my.sharepoint.com/personal/sesa352121_se_com/Documents/GON%20KERJOAN/04%20PEM%20DATA/18.%20KE%20Trend%20PEM/PEM%20Performance%20Tracking%20-%20Front%20Line%203/Tesys%20FL3%20-%20Performance%20Track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https://schneiderelectric-my.sharepoint.com/sites/Method-SEMBGroup/Shared%20Documents/METHOD%20Batam/Method%20-%20PEM/03%20KANBAN/INTERNAL/2023/Project/MPH%20Kanban%20Animation%20-%20GSC%20International%20Project/Kanban%20Calculation%20Format.xlsm?5EB99012" TargetMode="External"/><Relationship Id="rId1" Type="http://schemas.openxmlformats.org/officeDocument/2006/relationships/externalLinkPath" Target="file:///\\5EB99012\Kanban%20Calculation%20Forma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es"/>
      <sheetName val="Master"/>
      <sheetName val="Kanban Data"/>
      <sheetName val="Summary"/>
      <sheetName val="Revision History"/>
      <sheetName val="Action Plan"/>
    </sheetNames>
    <sheetDataSet>
      <sheetData sheetId="0"/>
      <sheetData sheetId="1">
        <row r="5">
          <cell r="A5" t="str">
            <v>FPO25</v>
          </cell>
        </row>
        <row r="6">
          <cell r="A6" t="str">
            <v>FPO50</v>
          </cell>
        </row>
        <row r="7">
          <cell r="A7" t="str">
            <v>SO1</v>
          </cell>
        </row>
        <row r="8">
          <cell r="A8" t="str">
            <v>SO2</v>
          </cell>
        </row>
        <row r="9">
          <cell r="A9" t="str">
            <v>SO3</v>
          </cell>
        </row>
        <row r="10">
          <cell r="A10" t="str">
            <v>SO4</v>
          </cell>
        </row>
        <row r="11">
          <cell r="A11" t="str">
            <v>C14</v>
          </cell>
        </row>
        <row r="12">
          <cell r="A12" t="str">
            <v>X1</v>
          </cell>
        </row>
        <row r="13">
          <cell r="A13" t="str">
            <v>X7</v>
          </cell>
        </row>
        <row r="14">
          <cell r="A14" t="str">
            <v>X8</v>
          </cell>
        </row>
        <row r="15">
          <cell r="A15" t="str">
            <v>X9</v>
          </cell>
        </row>
        <row r="16">
          <cell r="A16" t="str">
            <v>X10</v>
          </cell>
        </row>
        <row r="17">
          <cell r="A17" t="str">
            <v>Other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Review"/>
      <sheetName val="Summary Review.rev)"/>
      <sheetName val="Lot 15"/>
      <sheetName val="Box Dimension"/>
      <sheetName val="Lot 16"/>
      <sheetName val="Breakdown Lot 15"/>
      <sheetName val="Breakdown lot 16"/>
      <sheetName val="Rack Canopy "/>
      <sheetName val="FMR Review PEM &amp; PEL"/>
      <sheetName val="ABC FMR PEM"/>
      <sheetName val="ABC FMR PEL"/>
      <sheetName val="Bin Managements - fix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chedule"/>
      <sheetName val="Action Plan"/>
      <sheetName val="Weekly_Output"/>
      <sheetName val="LDS_Output"/>
      <sheetName val="Daily"/>
      <sheetName val="Pivot_Output"/>
      <sheetName val="Performance"/>
      <sheetName val="Quality"/>
      <sheetName val="Downtime"/>
      <sheetName val="Cat"/>
      <sheetName val="Cat_Eda"/>
      <sheetName val="Waste_Ori"/>
      <sheetName val="FL3_WK"/>
      <sheetName val="Label_Data"/>
      <sheetName val="FL3_Monthly"/>
      <sheetName val="OT Hrs"/>
    </sheetNames>
    <sheetDataSet>
      <sheetData sheetId="0">
        <row r="3">
          <cell r="E3">
            <v>45137</v>
          </cell>
        </row>
        <row r="4">
          <cell r="E4">
            <v>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"/>
      <sheetName val="BF"/>
      <sheetName val="KB Calc"/>
      <sheetName val="Prop. KB"/>
      <sheetName val="WM_AFTER"/>
      <sheetName val="CONSG"/>
      <sheetName val="SUM_CSG"/>
      <sheetName val="OFO"/>
      <sheetName val="PCBA"/>
      <sheetName val="Chemical"/>
      <sheetName val="OP"/>
      <sheetName val="Rivet "/>
      <sheetName val="Other"/>
      <sheetName val="MD"/>
      <sheetName val="KB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ko WAHYUDI" id="{D4504EE2-19AA-47A4-8365-732D65C14925}" userId="S::SESA108962@se.com::4fc5dd50-04d0-4062-ac4f-4e52b9fa0e1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5" dT="2023-06-23T04:39:51.57" personId="{D4504EE2-19AA-47A4-8365-732D65C14925}" id="{81D8601B-F8B0-4EE9-878A-22F74EA74D5B}">
    <text>Beam + Pallet =30 cm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CEBC-4577-4A0C-9EAE-A2814D0B55B3}">
  <dimension ref="B1:AQ60"/>
  <sheetViews>
    <sheetView showGridLines="0" tabSelected="1" zoomScaleNormal="100" workbookViewId="0">
      <pane ySplit="5" topLeftCell="A10" activePane="bottomLeft" state="frozen"/>
      <selection pane="bottomLeft" activeCell="AL12" sqref="AL12"/>
    </sheetView>
  </sheetViews>
  <sheetFormatPr defaultRowHeight="14.5" x14ac:dyDescent="0.35"/>
  <cols>
    <col min="1" max="1" width="10.453125" customWidth="1"/>
    <col min="2" max="2" width="8.7265625" style="1"/>
    <col min="3" max="3" width="0" style="1" hidden="1" customWidth="1"/>
    <col min="4" max="6" width="8.7265625" style="1"/>
    <col min="7" max="7" width="14" style="1" customWidth="1"/>
    <col min="8" max="8" width="8.7265625" style="1"/>
    <col min="9" max="9" width="15" style="1" customWidth="1"/>
    <col min="10" max="26" width="8.7265625" style="1" hidden="1" customWidth="1"/>
    <col min="27" max="34" width="0" style="1" hidden="1" customWidth="1"/>
    <col min="35" max="35" width="21.54296875" style="1" customWidth="1"/>
    <col min="36" max="38" width="8.7265625" style="1"/>
    <col min="39" max="40" width="0" hidden="1" customWidth="1"/>
    <col min="41" max="41" width="9.90625" customWidth="1"/>
    <col min="42" max="42" width="23.7265625" customWidth="1"/>
  </cols>
  <sheetData>
    <row r="1" spans="2:43" ht="11" customHeight="1" x14ac:dyDescent="0.35"/>
    <row r="2" spans="2:43" ht="31" customHeight="1" x14ac:dyDescent="0.3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P2" s="3"/>
      <c r="AQ2" s="3"/>
    </row>
    <row r="3" spans="2:43" ht="8.5" customHeight="1" x14ac:dyDescent="0.35"/>
    <row r="4" spans="2:43" ht="25" customHeight="1" x14ac:dyDescent="0.3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 t="s">
        <v>9</v>
      </c>
      <c r="AA4" s="4" t="s">
        <v>10</v>
      </c>
      <c r="AB4" s="7" t="s">
        <v>11</v>
      </c>
      <c r="AC4" s="8" t="s">
        <v>12</v>
      </c>
      <c r="AD4" s="8"/>
      <c r="AE4" s="8" t="s">
        <v>13</v>
      </c>
      <c r="AF4" s="8"/>
      <c r="AG4" s="5"/>
      <c r="AH4" s="5"/>
      <c r="AI4" s="9" t="s">
        <v>14</v>
      </c>
      <c r="AJ4" s="10" t="s">
        <v>15</v>
      </c>
      <c r="AK4" s="11"/>
      <c r="AL4" s="12"/>
    </row>
    <row r="5" spans="2:43" ht="33" customHeight="1" x14ac:dyDescent="0.35">
      <c r="B5" s="13"/>
      <c r="C5" s="13"/>
      <c r="D5" s="13"/>
      <c r="E5" s="13"/>
      <c r="F5" s="13"/>
      <c r="G5" s="13"/>
      <c r="H5" s="13"/>
      <c r="I5" s="13"/>
      <c r="J5" s="14" t="s">
        <v>16</v>
      </c>
      <c r="K5" s="14" t="s">
        <v>17</v>
      </c>
      <c r="L5" s="14" t="s">
        <v>18</v>
      </c>
      <c r="M5" s="14" t="s">
        <v>19</v>
      </c>
      <c r="N5" s="14" t="s">
        <v>16</v>
      </c>
      <c r="O5" s="14" t="s">
        <v>17</v>
      </c>
      <c r="P5" s="14" t="s">
        <v>18</v>
      </c>
      <c r="Q5" s="14" t="s">
        <v>20</v>
      </c>
      <c r="R5" s="14" t="s">
        <v>21</v>
      </c>
      <c r="S5" s="14" t="s">
        <v>16</v>
      </c>
      <c r="T5" s="14" t="s">
        <v>17</v>
      </c>
      <c r="U5" s="14" t="s">
        <v>22</v>
      </c>
      <c r="V5" s="14" t="s">
        <v>23</v>
      </c>
      <c r="W5" s="14" t="s">
        <v>18</v>
      </c>
      <c r="X5" s="14" t="s">
        <v>24</v>
      </c>
      <c r="Y5" s="15" t="s">
        <v>25</v>
      </c>
      <c r="Z5" s="16"/>
      <c r="AA5" s="13"/>
      <c r="AB5" s="17"/>
      <c r="AC5" s="8"/>
      <c r="AD5" s="8"/>
      <c r="AE5" s="8"/>
      <c r="AF5" s="8"/>
      <c r="AG5" s="18" t="s">
        <v>26</v>
      </c>
      <c r="AH5" s="19" t="s">
        <v>27</v>
      </c>
      <c r="AI5" s="20"/>
      <c r="AJ5" s="5" t="s">
        <v>28</v>
      </c>
      <c r="AK5" s="5" t="s">
        <v>29</v>
      </c>
      <c r="AL5" s="5" t="s">
        <v>30</v>
      </c>
    </row>
    <row r="6" spans="2:43" ht="43.5" x14ac:dyDescent="0.35">
      <c r="B6" s="21">
        <v>1</v>
      </c>
      <c r="C6" s="22" t="s">
        <v>31</v>
      </c>
      <c r="D6" s="23" t="s">
        <v>32</v>
      </c>
      <c r="E6" s="22">
        <v>23</v>
      </c>
      <c r="F6" s="22">
        <v>5</v>
      </c>
      <c r="G6" s="22" t="s">
        <v>33</v>
      </c>
      <c r="H6" s="22" t="s">
        <v>34</v>
      </c>
      <c r="I6" s="22" t="s">
        <v>35</v>
      </c>
      <c r="J6" s="22">
        <v>2.4</v>
      </c>
      <c r="K6" s="22">
        <v>1.2</v>
      </c>
      <c r="L6" s="22">
        <v>6</v>
      </c>
      <c r="M6" s="24">
        <f t="shared" ref="M6:M52" si="0">L6/F6</f>
        <v>1.2</v>
      </c>
      <c r="N6" s="25">
        <f>J6*2</f>
        <v>4.8</v>
      </c>
      <c r="O6" s="25">
        <f>K6</f>
        <v>1.2</v>
      </c>
      <c r="P6" s="25">
        <f>AVERAGE(4.7,3.7)</f>
        <v>4.2</v>
      </c>
      <c r="Q6" s="22" t="s">
        <v>36</v>
      </c>
      <c r="R6" s="25">
        <f>N6*O6*P6</f>
        <v>24.192</v>
      </c>
      <c r="S6" s="22">
        <f t="shared" ref="S6:T52" si="1">J6</f>
        <v>2.4</v>
      </c>
      <c r="T6" s="22">
        <f t="shared" si="1"/>
        <v>1.2</v>
      </c>
      <c r="U6" s="22">
        <f>(F6*30)/100</f>
        <v>1.5</v>
      </c>
      <c r="V6" s="22">
        <f t="shared" ref="V6:V52" si="2">F6*10/100</f>
        <v>0.5</v>
      </c>
      <c r="W6" s="25">
        <f t="shared" ref="W6:W52" si="3">U6+V6</f>
        <v>2</v>
      </c>
      <c r="X6" s="25">
        <f t="shared" ref="X6:X52" si="4">S6*T6*W6*E6</f>
        <v>132.47999999999999</v>
      </c>
      <c r="Y6" s="26">
        <v>1</v>
      </c>
      <c r="Z6" s="27">
        <f t="shared" ref="Z6:Z52" si="5">E6*F6</f>
        <v>115</v>
      </c>
      <c r="AA6" s="25">
        <f t="shared" ref="AA6:AA52" si="6">J6*K6*L6</f>
        <v>17.28</v>
      </c>
      <c r="AB6" s="28">
        <f t="shared" ref="AB6:AB52" si="7">(E6*J6*K6*L6*Y6)-R6-X6</f>
        <v>240.76799999999994</v>
      </c>
      <c r="AC6" s="26">
        <f t="shared" ref="AC6:AC52" si="8">AD6/AB6</f>
        <v>0.78125000000000011</v>
      </c>
      <c r="AD6" s="29">
        <v>188.1</v>
      </c>
      <c r="AE6" s="26">
        <f>AF6/AB6</f>
        <v>0.21874999999999983</v>
      </c>
      <c r="AF6" s="29">
        <f>AB6-AD6</f>
        <v>52.66799999999995</v>
      </c>
      <c r="AG6" s="30">
        <v>1</v>
      </c>
      <c r="AH6" s="31">
        <f>AB6/(E6*F6)</f>
        <v>2.093634782608695</v>
      </c>
      <c r="AI6" s="32" t="s">
        <v>37</v>
      </c>
      <c r="AJ6" s="33" t="s">
        <v>38</v>
      </c>
      <c r="AK6" s="34">
        <v>4</v>
      </c>
      <c r="AL6" s="34">
        <v>5</v>
      </c>
    </row>
    <row r="7" spans="2:43" ht="43.5" x14ac:dyDescent="0.35">
      <c r="B7" s="21">
        <v>2</v>
      </c>
      <c r="C7" s="22" t="s">
        <v>31</v>
      </c>
      <c r="D7" s="23" t="s">
        <v>32</v>
      </c>
      <c r="E7" s="22">
        <v>23</v>
      </c>
      <c r="F7" s="35">
        <v>6</v>
      </c>
      <c r="G7" s="22" t="s">
        <v>33</v>
      </c>
      <c r="H7" s="22" t="s">
        <v>34</v>
      </c>
      <c r="I7" s="22" t="s">
        <v>35</v>
      </c>
      <c r="J7" s="22">
        <v>2.4</v>
      </c>
      <c r="K7" s="22">
        <v>1.2</v>
      </c>
      <c r="L7" s="22">
        <v>6</v>
      </c>
      <c r="M7" s="24">
        <f t="shared" si="0"/>
        <v>1</v>
      </c>
      <c r="N7" s="25"/>
      <c r="O7" s="25"/>
      <c r="P7" s="25"/>
      <c r="Q7" s="22" t="s">
        <v>36</v>
      </c>
      <c r="R7" s="25"/>
      <c r="S7" s="22">
        <f t="shared" si="1"/>
        <v>2.4</v>
      </c>
      <c r="T7" s="22">
        <f t="shared" si="1"/>
        <v>1.2</v>
      </c>
      <c r="U7" s="22">
        <f>(F7*30)/100</f>
        <v>1.8</v>
      </c>
      <c r="V7" s="22">
        <f t="shared" si="2"/>
        <v>0.6</v>
      </c>
      <c r="W7" s="25">
        <f t="shared" si="3"/>
        <v>2.4</v>
      </c>
      <c r="X7" s="25">
        <f t="shared" si="4"/>
        <v>158.976</v>
      </c>
      <c r="Y7" s="26">
        <v>1</v>
      </c>
      <c r="Z7" s="27">
        <f t="shared" si="5"/>
        <v>138</v>
      </c>
      <c r="AA7" s="25">
        <f t="shared" si="6"/>
        <v>17.28</v>
      </c>
      <c r="AB7" s="28">
        <f>(E7*J7*K7*L7*Y7)-R7-X7</f>
        <v>238.46399999999994</v>
      </c>
      <c r="AC7" s="26">
        <f t="shared" si="8"/>
        <v>0.81941089640365028</v>
      </c>
      <c r="AD7" s="29">
        <v>195.4</v>
      </c>
      <c r="AE7" s="26">
        <f t="shared" ref="AE7:AE52" si="9">AF7/AB7</f>
        <v>0.18058910359634975</v>
      </c>
      <c r="AF7" s="29">
        <f t="shared" ref="AF7:AF52" si="10">AB7-AD7</f>
        <v>43.063999999999936</v>
      </c>
      <c r="AG7" s="30"/>
      <c r="AH7" s="31">
        <f t="shared" ref="AH7:AH52" si="11">AB7/(E7*F7)</f>
        <v>1.7279999999999995</v>
      </c>
      <c r="AI7" s="32" t="s">
        <v>37</v>
      </c>
      <c r="AJ7" s="33" t="s">
        <v>38</v>
      </c>
      <c r="AK7" s="33">
        <v>5</v>
      </c>
      <c r="AL7" s="33">
        <v>6</v>
      </c>
    </row>
    <row r="8" spans="2:43" ht="43.5" x14ac:dyDescent="0.35">
      <c r="B8" s="21">
        <v>3</v>
      </c>
      <c r="C8" s="22" t="s">
        <v>31</v>
      </c>
      <c r="D8" s="23" t="s">
        <v>32</v>
      </c>
      <c r="E8" s="22">
        <v>23</v>
      </c>
      <c r="F8" s="35">
        <v>9</v>
      </c>
      <c r="G8" s="36" t="s">
        <v>39</v>
      </c>
      <c r="H8" s="22" t="s">
        <v>34</v>
      </c>
      <c r="I8" s="22" t="s">
        <v>35</v>
      </c>
      <c r="J8" s="22">
        <v>2.7</v>
      </c>
      <c r="K8" s="22">
        <v>0.9</v>
      </c>
      <c r="L8" s="22">
        <v>6</v>
      </c>
      <c r="M8" s="24">
        <f t="shared" si="0"/>
        <v>0.66666666666666663</v>
      </c>
      <c r="N8" s="25"/>
      <c r="O8" s="25"/>
      <c r="P8" s="25"/>
      <c r="Q8" s="22" t="s">
        <v>36</v>
      </c>
      <c r="R8" s="25"/>
      <c r="S8" s="22">
        <f t="shared" si="1"/>
        <v>2.7</v>
      </c>
      <c r="T8" s="22">
        <f t="shared" si="1"/>
        <v>0.9</v>
      </c>
      <c r="U8" s="22">
        <f>(F8*19)/100</f>
        <v>1.71</v>
      </c>
      <c r="V8" s="22">
        <f t="shared" si="2"/>
        <v>0.9</v>
      </c>
      <c r="W8" s="25">
        <f t="shared" si="3"/>
        <v>2.61</v>
      </c>
      <c r="X8" s="25">
        <f t="shared" si="4"/>
        <v>145.87289999999999</v>
      </c>
      <c r="Y8" s="26">
        <v>1</v>
      </c>
      <c r="Z8" s="27">
        <f t="shared" si="5"/>
        <v>207</v>
      </c>
      <c r="AA8" s="25">
        <f t="shared" si="6"/>
        <v>14.580000000000002</v>
      </c>
      <c r="AB8" s="28">
        <f t="shared" si="7"/>
        <v>189.46710000000004</v>
      </c>
      <c r="AC8" s="26">
        <f t="shared" si="8"/>
        <v>0.84658497438341518</v>
      </c>
      <c r="AD8" s="29">
        <v>160.4</v>
      </c>
      <c r="AE8" s="26">
        <f t="shared" si="9"/>
        <v>0.15341502561658479</v>
      </c>
      <c r="AF8" s="29">
        <f t="shared" si="10"/>
        <v>29.067100000000039</v>
      </c>
      <c r="AG8" s="30"/>
      <c r="AH8" s="31">
        <f t="shared" si="11"/>
        <v>0.91530000000000022</v>
      </c>
      <c r="AI8" s="32" t="s">
        <v>40</v>
      </c>
      <c r="AJ8" s="34" t="s">
        <v>38</v>
      </c>
      <c r="AK8" s="34" t="s">
        <v>41</v>
      </c>
      <c r="AL8" s="34" t="s">
        <v>42</v>
      </c>
      <c r="AM8">
        <v>7</v>
      </c>
      <c r="AN8" s="37" t="s">
        <v>43</v>
      </c>
    </row>
    <row r="9" spans="2:43" x14ac:dyDescent="0.35">
      <c r="B9" s="21">
        <v>4</v>
      </c>
      <c r="C9" s="22" t="s">
        <v>31</v>
      </c>
      <c r="D9" s="23" t="s">
        <v>32</v>
      </c>
      <c r="E9" s="22">
        <v>23</v>
      </c>
      <c r="F9" s="22">
        <v>8</v>
      </c>
      <c r="G9" s="36" t="s">
        <v>39</v>
      </c>
      <c r="H9" s="22" t="s">
        <v>34</v>
      </c>
      <c r="I9" s="22" t="s">
        <v>35</v>
      </c>
      <c r="J9" s="22">
        <v>2.7</v>
      </c>
      <c r="K9" s="22">
        <v>0.9</v>
      </c>
      <c r="L9" s="22">
        <v>6</v>
      </c>
      <c r="M9" s="24">
        <f t="shared" si="0"/>
        <v>0.75</v>
      </c>
      <c r="N9" s="25"/>
      <c r="O9" s="25"/>
      <c r="P9" s="25"/>
      <c r="Q9" s="22" t="s">
        <v>36</v>
      </c>
      <c r="R9" s="25"/>
      <c r="S9" s="22">
        <f t="shared" si="1"/>
        <v>2.7</v>
      </c>
      <c r="T9" s="22">
        <f t="shared" si="1"/>
        <v>0.9</v>
      </c>
      <c r="U9" s="22">
        <f>(F9*19)/100</f>
        <v>1.52</v>
      </c>
      <c r="V9" s="22">
        <f t="shared" si="2"/>
        <v>0.8</v>
      </c>
      <c r="W9" s="25">
        <f t="shared" si="3"/>
        <v>2.3200000000000003</v>
      </c>
      <c r="X9" s="25">
        <f t="shared" si="4"/>
        <v>129.66480000000001</v>
      </c>
      <c r="Y9" s="26">
        <v>1</v>
      </c>
      <c r="Z9" s="27">
        <f>E9*F9</f>
        <v>184</v>
      </c>
      <c r="AA9" s="25">
        <f t="shared" si="6"/>
        <v>14.580000000000002</v>
      </c>
      <c r="AB9" s="28">
        <f t="shared" si="7"/>
        <v>205.67520000000002</v>
      </c>
      <c r="AC9" s="26">
        <f t="shared" si="8"/>
        <v>0.58149937376990513</v>
      </c>
      <c r="AD9" s="29">
        <v>119.6</v>
      </c>
      <c r="AE9" s="26">
        <f>AF9/AB9</f>
        <v>0.41850062623009493</v>
      </c>
      <c r="AF9" s="29">
        <f t="shared" si="10"/>
        <v>86.075200000000024</v>
      </c>
      <c r="AG9" s="30"/>
      <c r="AH9" s="31">
        <f t="shared" si="11"/>
        <v>1.1178000000000001</v>
      </c>
      <c r="AI9" s="32" t="s">
        <v>44</v>
      </c>
      <c r="AJ9" s="34" t="s">
        <v>38</v>
      </c>
      <c r="AK9" s="34" t="s">
        <v>41</v>
      </c>
      <c r="AL9" s="34" t="s">
        <v>45</v>
      </c>
    </row>
    <row r="10" spans="2:43" ht="43.5" x14ac:dyDescent="0.35">
      <c r="B10" s="21">
        <v>5</v>
      </c>
      <c r="C10" s="22" t="s">
        <v>31</v>
      </c>
      <c r="D10" s="23" t="s">
        <v>32</v>
      </c>
      <c r="E10" s="22">
        <v>23</v>
      </c>
      <c r="F10" s="22">
        <v>5</v>
      </c>
      <c r="G10" s="22" t="s">
        <v>33</v>
      </c>
      <c r="H10" s="22" t="s">
        <v>34</v>
      </c>
      <c r="I10" s="22" t="s">
        <v>35</v>
      </c>
      <c r="J10" s="22">
        <v>2.4</v>
      </c>
      <c r="K10" s="22">
        <v>1.2</v>
      </c>
      <c r="L10" s="22">
        <v>6</v>
      </c>
      <c r="M10" s="24">
        <f t="shared" si="0"/>
        <v>1.2</v>
      </c>
      <c r="N10" s="25"/>
      <c r="O10" s="25"/>
      <c r="P10" s="25"/>
      <c r="Q10" s="22"/>
      <c r="R10" s="25"/>
      <c r="S10" s="22">
        <f t="shared" si="1"/>
        <v>2.4</v>
      </c>
      <c r="T10" s="22">
        <f t="shared" si="1"/>
        <v>1.2</v>
      </c>
      <c r="U10" s="22">
        <f>(F10*25)/100</f>
        <v>1.25</v>
      </c>
      <c r="V10" s="22">
        <f t="shared" si="2"/>
        <v>0.5</v>
      </c>
      <c r="W10" s="25">
        <f t="shared" si="3"/>
        <v>1.75</v>
      </c>
      <c r="X10" s="25">
        <f t="shared" si="4"/>
        <v>115.92</v>
      </c>
      <c r="Y10" s="26">
        <v>1</v>
      </c>
      <c r="Z10" s="27">
        <f t="shared" si="5"/>
        <v>115</v>
      </c>
      <c r="AA10" s="25">
        <f t="shared" si="6"/>
        <v>17.28</v>
      </c>
      <c r="AB10" s="28">
        <f t="shared" si="7"/>
        <v>281.51999999999992</v>
      </c>
      <c r="AC10" s="26">
        <f t="shared" si="8"/>
        <v>0.74808184143222523</v>
      </c>
      <c r="AD10" s="29">
        <v>210.6</v>
      </c>
      <c r="AE10" s="26">
        <f t="shared" si="9"/>
        <v>0.25191815856777477</v>
      </c>
      <c r="AF10" s="29">
        <f t="shared" si="10"/>
        <v>70.919999999999931</v>
      </c>
      <c r="AG10" s="30"/>
      <c r="AH10" s="31">
        <f t="shared" si="11"/>
        <v>2.4479999999999995</v>
      </c>
      <c r="AI10" s="32" t="s">
        <v>37</v>
      </c>
      <c r="AJ10" s="33" t="s">
        <v>38</v>
      </c>
      <c r="AK10" s="34">
        <v>4</v>
      </c>
      <c r="AL10" s="34">
        <v>5</v>
      </c>
    </row>
    <row r="11" spans="2:43" ht="43.5" x14ac:dyDescent="0.35">
      <c r="B11" s="21">
        <v>6</v>
      </c>
      <c r="C11" s="22" t="s">
        <v>31</v>
      </c>
      <c r="D11" s="23" t="s">
        <v>32</v>
      </c>
      <c r="E11" s="22">
        <v>23</v>
      </c>
      <c r="F11" s="22">
        <v>5</v>
      </c>
      <c r="G11" s="22" t="s">
        <v>33</v>
      </c>
      <c r="H11" s="22" t="s">
        <v>34</v>
      </c>
      <c r="I11" s="22" t="s">
        <v>35</v>
      </c>
      <c r="J11" s="22">
        <v>2.4</v>
      </c>
      <c r="K11" s="22">
        <v>1.2</v>
      </c>
      <c r="L11" s="22">
        <v>6</v>
      </c>
      <c r="M11" s="24">
        <f t="shared" si="0"/>
        <v>1.2</v>
      </c>
      <c r="N11" s="25"/>
      <c r="O11" s="25"/>
      <c r="P11" s="25"/>
      <c r="Q11" s="22"/>
      <c r="R11" s="25"/>
      <c r="S11" s="22">
        <f t="shared" si="1"/>
        <v>2.4</v>
      </c>
      <c r="T11" s="22">
        <f t="shared" si="1"/>
        <v>1.2</v>
      </c>
      <c r="U11" s="22">
        <f>(F11*25)/100</f>
        <v>1.25</v>
      </c>
      <c r="V11" s="22">
        <f t="shared" si="2"/>
        <v>0.5</v>
      </c>
      <c r="W11" s="25">
        <f t="shared" si="3"/>
        <v>1.75</v>
      </c>
      <c r="X11" s="25">
        <f t="shared" si="4"/>
        <v>115.92</v>
      </c>
      <c r="Y11" s="26">
        <v>1</v>
      </c>
      <c r="Z11" s="27">
        <f t="shared" si="5"/>
        <v>115</v>
      </c>
      <c r="AA11" s="25">
        <f t="shared" si="6"/>
        <v>17.28</v>
      </c>
      <c r="AB11" s="28">
        <f t="shared" si="7"/>
        <v>281.51999999999992</v>
      </c>
      <c r="AC11" s="26">
        <f t="shared" si="8"/>
        <v>0.88768115942029013</v>
      </c>
      <c r="AD11" s="29">
        <v>249.9</v>
      </c>
      <c r="AE11" s="26">
        <f>AF11/AB11</f>
        <v>0.11231884057970989</v>
      </c>
      <c r="AF11" s="29">
        <f t="shared" si="10"/>
        <v>31.619999999999919</v>
      </c>
      <c r="AG11" s="30"/>
      <c r="AH11" s="31">
        <f t="shared" si="11"/>
        <v>2.4479999999999995</v>
      </c>
      <c r="AI11" s="32" t="s">
        <v>37</v>
      </c>
      <c r="AJ11" s="33" t="s">
        <v>38</v>
      </c>
      <c r="AK11" s="34">
        <v>4</v>
      </c>
      <c r="AL11" s="34">
        <v>5</v>
      </c>
    </row>
    <row r="12" spans="2:43" ht="72.5" x14ac:dyDescent="0.35">
      <c r="B12" s="21">
        <v>7</v>
      </c>
      <c r="C12" s="22" t="s">
        <v>31</v>
      </c>
      <c r="D12" s="23" t="s">
        <v>32</v>
      </c>
      <c r="E12" s="22">
        <v>23</v>
      </c>
      <c r="F12" s="35">
        <v>10</v>
      </c>
      <c r="G12" s="36" t="s">
        <v>39</v>
      </c>
      <c r="H12" s="22" t="s">
        <v>34</v>
      </c>
      <c r="I12" s="22" t="s">
        <v>46</v>
      </c>
      <c r="J12" s="22">
        <v>2.7</v>
      </c>
      <c r="K12" s="22">
        <v>0.9</v>
      </c>
      <c r="L12" s="22">
        <v>6</v>
      </c>
      <c r="M12" s="24">
        <f t="shared" si="0"/>
        <v>0.6</v>
      </c>
      <c r="N12" s="25"/>
      <c r="O12" s="25"/>
      <c r="P12" s="25"/>
      <c r="Q12" s="22"/>
      <c r="R12" s="25"/>
      <c r="S12" s="22">
        <f t="shared" si="1"/>
        <v>2.7</v>
      </c>
      <c r="T12" s="22">
        <f t="shared" si="1"/>
        <v>0.9</v>
      </c>
      <c r="U12" s="22">
        <f>(F12*19)/100</f>
        <v>1.9</v>
      </c>
      <c r="V12" s="22">
        <f t="shared" si="2"/>
        <v>1</v>
      </c>
      <c r="W12" s="25">
        <f t="shared" si="3"/>
        <v>2.9</v>
      </c>
      <c r="X12" s="25">
        <f t="shared" si="4"/>
        <v>162.08100000000002</v>
      </c>
      <c r="Y12" s="26">
        <v>1</v>
      </c>
      <c r="Z12" s="27">
        <f t="shared" si="5"/>
        <v>230</v>
      </c>
      <c r="AA12" s="25">
        <f>J12*K12*L12</f>
        <v>14.580000000000002</v>
      </c>
      <c r="AB12" s="28">
        <f t="shared" si="7"/>
        <v>173.25900000000001</v>
      </c>
      <c r="AC12" s="26">
        <f t="shared" si="8"/>
        <v>0.64469955384713051</v>
      </c>
      <c r="AD12" s="29">
        <v>111.7</v>
      </c>
      <c r="AE12" s="26">
        <f t="shared" si="9"/>
        <v>0.35530044615286943</v>
      </c>
      <c r="AF12" s="29">
        <f t="shared" si="10"/>
        <v>61.559000000000012</v>
      </c>
      <c r="AG12" s="30"/>
      <c r="AH12" s="31">
        <f t="shared" si="11"/>
        <v>0.75330000000000008</v>
      </c>
      <c r="AI12" s="32" t="s">
        <v>47</v>
      </c>
      <c r="AJ12" s="34" t="s">
        <v>38</v>
      </c>
      <c r="AK12" s="33" t="s">
        <v>48</v>
      </c>
      <c r="AL12" s="33" t="s">
        <v>49</v>
      </c>
      <c r="AM12">
        <v>8</v>
      </c>
      <c r="AN12" t="s">
        <v>43</v>
      </c>
    </row>
    <row r="13" spans="2:43" ht="72.5" x14ac:dyDescent="0.35">
      <c r="B13" s="21">
        <v>8</v>
      </c>
      <c r="C13" s="22" t="s">
        <v>50</v>
      </c>
      <c r="D13" s="23" t="s">
        <v>32</v>
      </c>
      <c r="E13" s="22">
        <v>18</v>
      </c>
      <c r="F13" s="22">
        <v>7</v>
      </c>
      <c r="G13" s="36" t="s">
        <v>39</v>
      </c>
      <c r="H13" s="22" t="s">
        <v>34</v>
      </c>
      <c r="I13" s="22" t="s">
        <v>46</v>
      </c>
      <c r="J13" s="22">
        <v>2.7</v>
      </c>
      <c r="K13" s="22">
        <v>0.9</v>
      </c>
      <c r="L13" s="22">
        <v>6</v>
      </c>
      <c r="M13" s="24">
        <f t="shared" si="0"/>
        <v>0.8571428571428571</v>
      </c>
      <c r="N13" s="25"/>
      <c r="O13" s="25"/>
      <c r="P13" s="25"/>
      <c r="Q13" s="22"/>
      <c r="R13" s="25"/>
      <c r="S13" s="22">
        <f t="shared" si="1"/>
        <v>2.7</v>
      </c>
      <c r="T13" s="22">
        <f t="shared" si="1"/>
        <v>0.9</v>
      </c>
      <c r="U13" s="22">
        <f>(F13*19)/100</f>
        <v>1.33</v>
      </c>
      <c r="V13" s="22">
        <f t="shared" si="2"/>
        <v>0.7</v>
      </c>
      <c r="W13" s="25">
        <f t="shared" si="3"/>
        <v>2.0300000000000002</v>
      </c>
      <c r="X13" s="25">
        <f t="shared" si="4"/>
        <v>88.792200000000022</v>
      </c>
      <c r="Y13" s="26">
        <v>1</v>
      </c>
      <c r="Z13" s="27">
        <f t="shared" si="5"/>
        <v>126</v>
      </c>
      <c r="AA13" s="25">
        <f t="shared" si="6"/>
        <v>14.580000000000002</v>
      </c>
      <c r="AB13" s="28">
        <f t="shared" si="7"/>
        <v>173.64779999999996</v>
      </c>
      <c r="AC13" s="26">
        <f t="shared" si="8"/>
        <v>0.61331039034182999</v>
      </c>
      <c r="AD13" s="29">
        <v>106.5</v>
      </c>
      <c r="AE13" s="26">
        <f t="shared" si="9"/>
        <v>0.38668960965817001</v>
      </c>
      <c r="AF13" s="29">
        <f t="shared" si="10"/>
        <v>67.147799999999961</v>
      </c>
      <c r="AG13" s="30"/>
      <c r="AH13" s="31">
        <f t="shared" si="11"/>
        <v>1.3781571428571426</v>
      </c>
      <c r="AI13" s="32" t="s">
        <v>47</v>
      </c>
      <c r="AJ13" s="34" t="s">
        <v>38</v>
      </c>
      <c r="AK13" s="34" t="s">
        <v>51</v>
      </c>
      <c r="AL13" s="34" t="s">
        <v>52</v>
      </c>
    </row>
    <row r="14" spans="2:43" ht="72.5" x14ac:dyDescent="0.35">
      <c r="B14" s="21">
        <v>9</v>
      </c>
      <c r="C14" s="22" t="s">
        <v>50</v>
      </c>
      <c r="D14" s="23" t="s">
        <v>32</v>
      </c>
      <c r="E14" s="22">
        <v>20</v>
      </c>
      <c r="F14" s="35">
        <v>7</v>
      </c>
      <c r="G14" s="36" t="s">
        <v>39</v>
      </c>
      <c r="H14" s="22" t="s">
        <v>34</v>
      </c>
      <c r="I14" s="22" t="s">
        <v>46</v>
      </c>
      <c r="J14" s="22">
        <v>2.7</v>
      </c>
      <c r="K14" s="22">
        <v>0.9</v>
      </c>
      <c r="L14" s="22">
        <v>6</v>
      </c>
      <c r="M14" s="24">
        <f t="shared" si="0"/>
        <v>0.8571428571428571</v>
      </c>
      <c r="N14" s="25"/>
      <c r="O14" s="25"/>
      <c r="P14" s="25"/>
      <c r="Q14" s="22"/>
      <c r="R14" s="25"/>
      <c r="S14" s="22">
        <f t="shared" si="1"/>
        <v>2.7</v>
      </c>
      <c r="T14" s="22">
        <f t="shared" si="1"/>
        <v>0.9</v>
      </c>
      <c r="U14" s="22">
        <f>(F14*19)/100</f>
        <v>1.33</v>
      </c>
      <c r="V14" s="22">
        <f t="shared" si="2"/>
        <v>0.7</v>
      </c>
      <c r="W14" s="25">
        <f>U14+V14</f>
        <v>2.0300000000000002</v>
      </c>
      <c r="X14" s="25">
        <f t="shared" si="4"/>
        <v>98.658000000000015</v>
      </c>
      <c r="Y14" s="26">
        <v>1</v>
      </c>
      <c r="Z14" s="27">
        <f t="shared" si="5"/>
        <v>140</v>
      </c>
      <c r="AA14" s="25">
        <f t="shared" si="6"/>
        <v>14.580000000000002</v>
      </c>
      <c r="AB14" s="28">
        <f>(E14*J14*K14*L14*Y14)-R14-X14</f>
        <v>192.94200000000001</v>
      </c>
      <c r="AC14" s="26">
        <f t="shared" si="8"/>
        <v>0.53332089436203622</v>
      </c>
      <c r="AD14" s="29">
        <v>102.9</v>
      </c>
      <c r="AE14" s="26">
        <f t="shared" si="9"/>
        <v>0.46667910563796372</v>
      </c>
      <c r="AF14" s="29">
        <f t="shared" si="10"/>
        <v>90.042000000000002</v>
      </c>
      <c r="AG14" s="30"/>
      <c r="AH14" s="31">
        <f t="shared" si="11"/>
        <v>1.3781571428571429</v>
      </c>
      <c r="AI14" s="32" t="s">
        <v>47</v>
      </c>
      <c r="AJ14" s="33" t="s">
        <v>38</v>
      </c>
      <c r="AK14" s="33" t="s">
        <v>51</v>
      </c>
      <c r="AL14" s="33" t="s">
        <v>52</v>
      </c>
    </row>
    <row r="15" spans="2:43" ht="43.5" x14ac:dyDescent="0.35">
      <c r="B15" s="21">
        <v>10</v>
      </c>
      <c r="C15" s="22" t="s">
        <v>50</v>
      </c>
      <c r="D15" s="23" t="s">
        <v>32</v>
      </c>
      <c r="E15" s="22">
        <v>20</v>
      </c>
      <c r="F15" s="22">
        <v>5</v>
      </c>
      <c r="G15" s="22" t="s">
        <v>33</v>
      </c>
      <c r="H15" s="22" t="s">
        <v>34</v>
      </c>
      <c r="I15" s="22" t="s">
        <v>46</v>
      </c>
      <c r="J15" s="22">
        <v>2.4</v>
      </c>
      <c r="K15" s="22">
        <v>1.2</v>
      </c>
      <c r="L15" s="22">
        <v>6</v>
      </c>
      <c r="M15" s="24">
        <f t="shared" si="0"/>
        <v>1.2</v>
      </c>
      <c r="N15" s="25">
        <f>J15*2</f>
        <v>4.8</v>
      </c>
      <c r="O15" s="25">
        <f>K15</f>
        <v>1.2</v>
      </c>
      <c r="P15" s="25">
        <v>2.2999999999999998</v>
      </c>
      <c r="Q15" s="22" t="s">
        <v>36</v>
      </c>
      <c r="R15" s="25">
        <f>N15*O15*P15</f>
        <v>13.247999999999999</v>
      </c>
      <c r="S15" s="22">
        <f t="shared" si="1"/>
        <v>2.4</v>
      </c>
      <c r="T15" s="22">
        <f t="shared" si="1"/>
        <v>1.2</v>
      </c>
      <c r="U15" s="22">
        <f>(F15*25)/100</f>
        <v>1.25</v>
      </c>
      <c r="V15" s="22">
        <f t="shared" si="2"/>
        <v>0.5</v>
      </c>
      <c r="W15" s="25">
        <f t="shared" si="3"/>
        <v>1.75</v>
      </c>
      <c r="X15" s="25">
        <f t="shared" si="4"/>
        <v>100.8</v>
      </c>
      <c r="Y15" s="26">
        <v>1</v>
      </c>
      <c r="Z15" s="27">
        <f t="shared" si="5"/>
        <v>100</v>
      </c>
      <c r="AA15" s="25">
        <f t="shared" si="6"/>
        <v>17.28</v>
      </c>
      <c r="AB15" s="28">
        <f t="shared" si="7"/>
        <v>231.55199999999996</v>
      </c>
      <c r="AC15" s="26">
        <f t="shared" si="8"/>
        <v>0.70567302377003882</v>
      </c>
      <c r="AD15" s="29">
        <v>163.4</v>
      </c>
      <c r="AE15" s="26">
        <f t="shared" si="9"/>
        <v>0.29432697622996118</v>
      </c>
      <c r="AF15" s="29">
        <f t="shared" si="10"/>
        <v>68.151999999999958</v>
      </c>
      <c r="AG15" s="30"/>
      <c r="AH15" s="31">
        <f t="shared" si="11"/>
        <v>2.3155199999999998</v>
      </c>
      <c r="AI15" s="32" t="s">
        <v>37</v>
      </c>
      <c r="AJ15" s="34" t="s">
        <v>53</v>
      </c>
      <c r="AK15" s="34" t="s">
        <v>54</v>
      </c>
      <c r="AL15" s="34">
        <v>5</v>
      </c>
    </row>
    <row r="16" spans="2:43" x14ac:dyDescent="0.35">
      <c r="B16" s="21">
        <v>11</v>
      </c>
      <c r="C16" s="22" t="s">
        <v>55</v>
      </c>
      <c r="D16" s="23" t="s">
        <v>32</v>
      </c>
      <c r="E16" s="22">
        <v>4</v>
      </c>
      <c r="F16" s="22">
        <v>3</v>
      </c>
      <c r="G16" s="22" t="s">
        <v>56</v>
      </c>
      <c r="H16" s="22" t="s">
        <v>34</v>
      </c>
      <c r="I16" s="22" t="s">
        <v>57</v>
      </c>
      <c r="J16" s="22">
        <v>2.7</v>
      </c>
      <c r="K16" s="22">
        <v>1.2</v>
      </c>
      <c r="L16" s="22">
        <v>3</v>
      </c>
      <c r="M16" s="24">
        <f t="shared" si="0"/>
        <v>1</v>
      </c>
      <c r="N16" s="25"/>
      <c r="O16" s="25"/>
      <c r="P16" s="25"/>
      <c r="Q16" s="22"/>
      <c r="R16" s="25"/>
      <c r="S16" s="22">
        <f t="shared" si="1"/>
        <v>2.7</v>
      </c>
      <c r="T16" s="22">
        <f t="shared" si="1"/>
        <v>1.2</v>
      </c>
      <c r="U16" s="22">
        <f t="shared" ref="U16:U28" si="12">(F16*25)/100</f>
        <v>0.75</v>
      </c>
      <c r="V16" s="22">
        <f t="shared" si="2"/>
        <v>0.3</v>
      </c>
      <c r="W16" s="25">
        <f t="shared" si="3"/>
        <v>1.05</v>
      </c>
      <c r="X16" s="25">
        <f t="shared" si="4"/>
        <v>13.608000000000002</v>
      </c>
      <c r="Y16" s="26">
        <v>1</v>
      </c>
      <c r="Z16" s="27">
        <f t="shared" si="5"/>
        <v>12</v>
      </c>
      <c r="AA16" s="25">
        <f t="shared" si="6"/>
        <v>9.7200000000000006</v>
      </c>
      <c r="AB16" s="28">
        <f t="shared" si="7"/>
        <v>25.271999999999998</v>
      </c>
      <c r="AC16" s="26">
        <f t="shared" si="8"/>
        <v>0.39569484013928463</v>
      </c>
      <c r="AD16" s="29">
        <v>10</v>
      </c>
      <c r="AE16" s="26">
        <f t="shared" si="9"/>
        <v>0.60430515986071542</v>
      </c>
      <c r="AF16" s="29">
        <f t="shared" si="10"/>
        <v>15.271999999999998</v>
      </c>
      <c r="AG16" s="30"/>
      <c r="AH16" s="31">
        <f t="shared" si="11"/>
        <v>2.1059999999999999</v>
      </c>
      <c r="AI16" s="32" t="s">
        <v>58</v>
      </c>
      <c r="AJ16" s="34">
        <v>1</v>
      </c>
      <c r="AK16" s="34">
        <v>2</v>
      </c>
      <c r="AL16" s="34">
        <v>3</v>
      </c>
    </row>
    <row r="17" spans="2:38" x14ac:dyDescent="0.35">
      <c r="B17" s="21">
        <v>12</v>
      </c>
      <c r="C17" s="22" t="s">
        <v>59</v>
      </c>
      <c r="D17" s="23" t="s">
        <v>32</v>
      </c>
      <c r="E17" s="22">
        <v>6</v>
      </c>
      <c r="F17" s="22">
        <v>3</v>
      </c>
      <c r="G17" s="22" t="s">
        <v>33</v>
      </c>
      <c r="H17" s="22" t="s">
        <v>34</v>
      </c>
      <c r="I17" s="22" t="s">
        <v>57</v>
      </c>
      <c r="J17" s="22">
        <v>2.4</v>
      </c>
      <c r="K17" s="22">
        <v>1.2</v>
      </c>
      <c r="L17" s="22">
        <v>3</v>
      </c>
      <c r="M17" s="24">
        <f t="shared" si="0"/>
        <v>1</v>
      </c>
      <c r="N17" s="25"/>
      <c r="O17" s="25"/>
      <c r="P17" s="25"/>
      <c r="Q17" s="22"/>
      <c r="R17" s="25"/>
      <c r="S17" s="22">
        <f t="shared" si="1"/>
        <v>2.4</v>
      </c>
      <c r="T17" s="22">
        <f t="shared" si="1"/>
        <v>1.2</v>
      </c>
      <c r="U17" s="22">
        <f t="shared" si="12"/>
        <v>0.75</v>
      </c>
      <c r="V17" s="22">
        <f t="shared" si="2"/>
        <v>0.3</v>
      </c>
      <c r="W17" s="25">
        <f t="shared" si="3"/>
        <v>1.05</v>
      </c>
      <c r="X17" s="25">
        <f t="shared" si="4"/>
        <v>18.143999999999998</v>
      </c>
      <c r="Y17" s="26">
        <v>1</v>
      </c>
      <c r="Z17" s="27">
        <f t="shared" si="5"/>
        <v>18</v>
      </c>
      <c r="AA17" s="25">
        <f t="shared" si="6"/>
        <v>8.64</v>
      </c>
      <c r="AB17" s="28">
        <f t="shared" si="7"/>
        <v>33.695999999999991</v>
      </c>
      <c r="AC17" s="26">
        <f t="shared" si="8"/>
        <v>0.35612535612535623</v>
      </c>
      <c r="AD17" s="29">
        <v>12</v>
      </c>
      <c r="AE17" s="26">
        <f t="shared" si="9"/>
        <v>0.64387464387464377</v>
      </c>
      <c r="AF17" s="29">
        <f t="shared" si="10"/>
        <v>21.695999999999991</v>
      </c>
      <c r="AG17" s="30"/>
      <c r="AH17" s="31">
        <f t="shared" si="11"/>
        <v>1.8719999999999994</v>
      </c>
      <c r="AI17" s="32" t="s">
        <v>58</v>
      </c>
      <c r="AJ17" s="34">
        <v>1</v>
      </c>
      <c r="AK17" s="34">
        <v>2</v>
      </c>
      <c r="AL17" s="34">
        <v>3</v>
      </c>
    </row>
    <row r="18" spans="2:38" x14ac:dyDescent="0.35">
      <c r="B18" s="21">
        <v>13</v>
      </c>
      <c r="C18" s="22" t="s">
        <v>60</v>
      </c>
      <c r="D18" s="23" t="s">
        <v>32</v>
      </c>
      <c r="E18" s="22">
        <v>5</v>
      </c>
      <c r="F18" s="22">
        <v>3</v>
      </c>
      <c r="G18" s="22" t="s">
        <v>33</v>
      </c>
      <c r="H18" s="22" t="s">
        <v>34</v>
      </c>
      <c r="I18" s="22" t="s">
        <v>57</v>
      </c>
      <c r="J18" s="22">
        <v>2.4</v>
      </c>
      <c r="K18" s="22">
        <v>1.2</v>
      </c>
      <c r="L18" s="22">
        <v>3</v>
      </c>
      <c r="M18" s="24">
        <f t="shared" si="0"/>
        <v>1</v>
      </c>
      <c r="N18" s="25"/>
      <c r="O18" s="25"/>
      <c r="P18" s="25"/>
      <c r="Q18" s="22"/>
      <c r="R18" s="25"/>
      <c r="S18" s="22">
        <f t="shared" si="1"/>
        <v>2.4</v>
      </c>
      <c r="T18" s="22">
        <f t="shared" si="1"/>
        <v>1.2</v>
      </c>
      <c r="U18" s="22">
        <f t="shared" si="12"/>
        <v>0.75</v>
      </c>
      <c r="V18" s="22">
        <f t="shared" si="2"/>
        <v>0.3</v>
      </c>
      <c r="W18" s="25">
        <f t="shared" si="3"/>
        <v>1.05</v>
      </c>
      <c r="X18" s="25">
        <f t="shared" si="4"/>
        <v>15.120000000000001</v>
      </c>
      <c r="Y18" s="26">
        <v>1</v>
      </c>
      <c r="Z18" s="27">
        <f t="shared" si="5"/>
        <v>15</v>
      </c>
      <c r="AA18" s="25">
        <f t="shared" si="6"/>
        <v>8.64</v>
      </c>
      <c r="AB18" s="28">
        <f t="shared" si="7"/>
        <v>28.079999999999995</v>
      </c>
      <c r="AC18" s="26">
        <f t="shared" si="8"/>
        <v>0.28490028490028496</v>
      </c>
      <c r="AD18" s="29">
        <v>8</v>
      </c>
      <c r="AE18" s="26">
        <f t="shared" si="9"/>
        <v>0.71509971509971504</v>
      </c>
      <c r="AF18" s="29">
        <f t="shared" si="10"/>
        <v>20.079999999999995</v>
      </c>
      <c r="AG18" s="30"/>
      <c r="AH18" s="31">
        <f t="shared" si="11"/>
        <v>1.8719999999999997</v>
      </c>
      <c r="AI18" s="32" t="s">
        <v>58</v>
      </c>
      <c r="AJ18" s="34">
        <v>1</v>
      </c>
      <c r="AK18" s="34">
        <v>2</v>
      </c>
      <c r="AL18" s="34">
        <v>3</v>
      </c>
    </row>
    <row r="19" spans="2:38" x14ac:dyDescent="0.35">
      <c r="B19" s="21">
        <v>14</v>
      </c>
      <c r="C19" s="22" t="s">
        <v>60</v>
      </c>
      <c r="D19" s="23" t="s">
        <v>32</v>
      </c>
      <c r="E19" s="22">
        <v>5</v>
      </c>
      <c r="F19" s="22">
        <v>5</v>
      </c>
      <c r="G19" s="36" t="s">
        <v>39</v>
      </c>
      <c r="H19" s="22" t="s">
        <v>34</v>
      </c>
      <c r="I19" s="22" t="s">
        <v>57</v>
      </c>
      <c r="J19" s="22">
        <v>2.7</v>
      </c>
      <c r="K19" s="22">
        <v>0.9</v>
      </c>
      <c r="L19" s="22">
        <v>3</v>
      </c>
      <c r="M19" s="24">
        <f t="shared" si="0"/>
        <v>0.6</v>
      </c>
      <c r="N19" s="25"/>
      <c r="O19" s="25"/>
      <c r="P19" s="25"/>
      <c r="Q19" s="22"/>
      <c r="R19" s="25"/>
      <c r="S19" s="22">
        <f t="shared" si="1"/>
        <v>2.7</v>
      </c>
      <c r="T19" s="22">
        <f t="shared" si="1"/>
        <v>0.9</v>
      </c>
      <c r="U19" s="22">
        <f t="shared" si="12"/>
        <v>1.25</v>
      </c>
      <c r="V19" s="22">
        <f t="shared" si="2"/>
        <v>0.5</v>
      </c>
      <c r="W19" s="25">
        <f t="shared" si="3"/>
        <v>1.75</v>
      </c>
      <c r="X19" s="25">
        <f t="shared" si="4"/>
        <v>21.262500000000003</v>
      </c>
      <c r="Y19" s="26">
        <v>1</v>
      </c>
      <c r="Z19" s="27">
        <f t="shared" si="5"/>
        <v>25</v>
      </c>
      <c r="AA19" s="25">
        <f t="shared" si="6"/>
        <v>7.2900000000000009</v>
      </c>
      <c r="AB19" s="28">
        <f t="shared" si="7"/>
        <v>15.1875</v>
      </c>
      <c r="AC19" s="26">
        <f t="shared" si="8"/>
        <v>0.65843621399176955</v>
      </c>
      <c r="AD19" s="29">
        <v>10</v>
      </c>
      <c r="AE19" s="26">
        <f>AF19/AB19</f>
        <v>0.34156378600823045</v>
      </c>
      <c r="AF19" s="29">
        <f t="shared" si="10"/>
        <v>5.1875</v>
      </c>
      <c r="AG19" s="30"/>
      <c r="AH19" s="31">
        <f t="shared" si="11"/>
        <v>0.60750000000000004</v>
      </c>
      <c r="AI19" s="32" t="s">
        <v>58</v>
      </c>
      <c r="AJ19" s="34" t="s">
        <v>53</v>
      </c>
      <c r="AK19" s="34" t="s">
        <v>54</v>
      </c>
      <c r="AL19" s="34">
        <v>5</v>
      </c>
    </row>
    <row r="20" spans="2:38" x14ac:dyDescent="0.35">
      <c r="B20" s="21">
        <v>15</v>
      </c>
      <c r="C20" s="22" t="s">
        <v>61</v>
      </c>
      <c r="D20" s="23" t="s">
        <v>32</v>
      </c>
      <c r="E20" s="22">
        <v>3</v>
      </c>
      <c r="F20" s="22">
        <v>3</v>
      </c>
      <c r="G20" s="22" t="s">
        <v>33</v>
      </c>
      <c r="H20" s="22" t="s">
        <v>34</v>
      </c>
      <c r="I20" s="22" t="s">
        <v>57</v>
      </c>
      <c r="J20" s="22">
        <v>2.4</v>
      </c>
      <c r="K20" s="22">
        <v>1.2</v>
      </c>
      <c r="L20" s="22">
        <v>3</v>
      </c>
      <c r="M20" s="24">
        <f t="shared" si="0"/>
        <v>1</v>
      </c>
      <c r="N20" s="25"/>
      <c r="O20" s="25"/>
      <c r="P20" s="25"/>
      <c r="Q20" s="22"/>
      <c r="R20" s="25"/>
      <c r="S20" s="22">
        <f t="shared" si="1"/>
        <v>2.4</v>
      </c>
      <c r="T20" s="22">
        <f t="shared" si="1"/>
        <v>1.2</v>
      </c>
      <c r="U20" s="22">
        <f t="shared" si="12"/>
        <v>0.75</v>
      </c>
      <c r="V20" s="22">
        <f t="shared" si="2"/>
        <v>0.3</v>
      </c>
      <c r="W20" s="25">
        <f t="shared" si="3"/>
        <v>1.05</v>
      </c>
      <c r="X20" s="25">
        <f t="shared" si="4"/>
        <v>9.0719999999999992</v>
      </c>
      <c r="Y20" s="26">
        <v>1</v>
      </c>
      <c r="Z20" s="27">
        <f t="shared" si="5"/>
        <v>9</v>
      </c>
      <c r="AA20" s="25">
        <f t="shared" si="6"/>
        <v>8.64</v>
      </c>
      <c r="AB20" s="28">
        <f t="shared" si="7"/>
        <v>16.847999999999995</v>
      </c>
      <c r="AC20" s="26">
        <f t="shared" si="8"/>
        <v>0.41547958214624892</v>
      </c>
      <c r="AD20" s="29">
        <v>7</v>
      </c>
      <c r="AE20" s="26">
        <f t="shared" si="9"/>
        <v>0.58452041785375108</v>
      </c>
      <c r="AF20" s="29">
        <f t="shared" si="10"/>
        <v>9.8479999999999954</v>
      </c>
      <c r="AG20" s="30"/>
      <c r="AH20" s="31">
        <f t="shared" si="11"/>
        <v>1.8719999999999994</v>
      </c>
      <c r="AI20" s="32" t="s">
        <v>58</v>
      </c>
      <c r="AJ20" s="34">
        <v>1</v>
      </c>
      <c r="AK20" s="34">
        <v>2</v>
      </c>
      <c r="AL20" s="34">
        <v>3</v>
      </c>
    </row>
    <row r="21" spans="2:38" x14ac:dyDescent="0.35">
      <c r="B21" s="21">
        <v>16</v>
      </c>
      <c r="C21" s="22" t="s">
        <v>62</v>
      </c>
      <c r="D21" s="23" t="s">
        <v>32</v>
      </c>
      <c r="E21" s="22">
        <v>7</v>
      </c>
      <c r="F21" s="22">
        <v>3</v>
      </c>
      <c r="G21" s="22" t="s">
        <v>33</v>
      </c>
      <c r="H21" s="22" t="s">
        <v>34</v>
      </c>
      <c r="I21" s="22" t="s">
        <v>57</v>
      </c>
      <c r="J21" s="22">
        <v>2.4</v>
      </c>
      <c r="K21" s="22">
        <v>1.2</v>
      </c>
      <c r="L21" s="22">
        <v>3</v>
      </c>
      <c r="M21" s="24">
        <f t="shared" si="0"/>
        <v>1</v>
      </c>
      <c r="N21" s="25"/>
      <c r="O21" s="25"/>
      <c r="P21" s="25"/>
      <c r="Q21" s="22"/>
      <c r="R21" s="25"/>
      <c r="S21" s="22">
        <f t="shared" si="1"/>
        <v>2.4</v>
      </c>
      <c r="T21" s="22">
        <f t="shared" si="1"/>
        <v>1.2</v>
      </c>
      <c r="U21" s="22">
        <f t="shared" si="12"/>
        <v>0.75</v>
      </c>
      <c r="V21" s="22">
        <f t="shared" si="2"/>
        <v>0.3</v>
      </c>
      <c r="W21" s="25">
        <f t="shared" si="3"/>
        <v>1.05</v>
      </c>
      <c r="X21" s="25">
        <f t="shared" si="4"/>
        <v>21.167999999999999</v>
      </c>
      <c r="Y21" s="26">
        <v>1</v>
      </c>
      <c r="Z21" s="27">
        <f t="shared" si="5"/>
        <v>21</v>
      </c>
      <c r="AA21" s="25">
        <f t="shared" si="6"/>
        <v>8.64</v>
      </c>
      <c r="AB21" s="28">
        <f t="shared" si="7"/>
        <v>39.312000000000005</v>
      </c>
      <c r="AC21" s="26">
        <f t="shared" si="8"/>
        <v>0.25437525437525432</v>
      </c>
      <c r="AD21" s="29">
        <v>10</v>
      </c>
      <c r="AE21" s="26">
        <f t="shared" si="9"/>
        <v>0.74562474562474568</v>
      </c>
      <c r="AF21" s="29">
        <f t="shared" si="10"/>
        <v>29.312000000000005</v>
      </c>
      <c r="AG21" s="30"/>
      <c r="AH21" s="31">
        <f t="shared" si="11"/>
        <v>1.8720000000000003</v>
      </c>
      <c r="AI21" s="32" t="s">
        <v>58</v>
      </c>
      <c r="AJ21" s="34">
        <v>1</v>
      </c>
      <c r="AK21" s="34">
        <v>2</v>
      </c>
      <c r="AL21" s="34">
        <v>3</v>
      </c>
    </row>
    <row r="22" spans="2:38" x14ac:dyDescent="0.35">
      <c r="B22" s="21">
        <v>17</v>
      </c>
      <c r="C22" s="22" t="s">
        <v>43</v>
      </c>
      <c r="D22" s="23" t="s">
        <v>32</v>
      </c>
      <c r="E22" s="22">
        <v>2</v>
      </c>
      <c r="F22" s="22">
        <v>3</v>
      </c>
      <c r="G22" s="22" t="s">
        <v>33</v>
      </c>
      <c r="H22" s="22" t="s">
        <v>34</v>
      </c>
      <c r="I22" s="22" t="s">
        <v>57</v>
      </c>
      <c r="J22" s="22">
        <v>2.4</v>
      </c>
      <c r="K22" s="22">
        <v>1.2</v>
      </c>
      <c r="L22" s="22">
        <v>3</v>
      </c>
      <c r="M22" s="24">
        <f t="shared" si="0"/>
        <v>1</v>
      </c>
      <c r="N22" s="25"/>
      <c r="O22" s="25"/>
      <c r="P22" s="25"/>
      <c r="Q22" s="22"/>
      <c r="R22" s="25"/>
      <c r="S22" s="22">
        <f t="shared" si="1"/>
        <v>2.4</v>
      </c>
      <c r="T22" s="22">
        <f t="shared" si="1"/>
        <v>1.2</v>
      </c>
      <c r="U22" s="22">
        <f t="shared" si="12"/>
        <v>0.75</v>
      </c>
      <c r="V22" s="22">
        <f t="shared" si="2"/>
        <v>0.3</v>
      </c>
      <c r="W22" s="25">
        <f t="shared" si="3"/>
        <v>1.05</v>
      </c>
      <c r="X22" s="25">
        <f t="shared" si="4"/>
        <v>6.048</v>
      </c>
      <c r="Y22" s="26">
        <v>1</v>
      </c>
      <c r="Z22" s="27">
        <f t="shared" si="5"/>
        <v>6</v>
      </c>
      <c r="AA22" s="25">
        <f t="shared" si="6"/>
        <v>8.64</v>
      </c>
      <c r="AB22" s="28">
        <f t="shared" si="7"/>
        <v>11.232000000000001</v>
      </c>
      <c r="AC22" s="26">
        <f t="shared" si="8"/>
        <v>0.26709401709401709</v>
      </c>
      <c r="AD22" s="29">
        <v>3</v>
      </c>
      <c r="AE22" s="26">
        <f t="shared" si="9"/>
        <v>0.73290598290598297</v>
      </c>
      <c r="AF22" s="29">
        <f t="shared" si="10"/>
        <v>8.2320000000000011</v>
      </c>
      <c r="AG22" s="30"/>
      <c r="AH22" s="31">
        <f t="shared" si="11"/>
        <v>1.8720000000000001</v>
      </c>
      <c r="AI22" s="32" t="s">
        <v>58</v>
      </c>
      <c r="AJ22" s="34">
        <v>1</v>
      </c>
      <c r="AK22" s="34">
        <v>2</v>
      </c>
      <c r="AL22" s="34">
        <v>3</v>
      </c>
    </row>
    <row r="23" spans="2:38" x14ac:dyDescent="0.35">
      <c r="B23" s="21">
        <v>18</v>
      </c>
      <c r="C23" s="22" t="s">
        <v>61</v>
      </c>
      <c r="D23" s="23" t="s">
        <v>32</v>
      </c>
      <c r="E23" s="22">
        <v>3</v>
      </c>
      <c r="F23" s="22">
        <v>3</v>
      </c>
      <c r="G23" s="22" t="s">
        <v>33</v>
      </c>
      <c r="H23" s="22" t="s">
        <v>34</v>
      </c>
      <c r="I23" s="22" t="s">
        <v>57</v>
      </c>
      <c r="J23" s="22">
        <v>2.4</v>
      </c>
      <c r="K23" s="22">
        <v>1.2</v>
      </c>
      <c r="L23" s="22">
        <v>3</v>
      </c>
      <c r="M23" s="24">
        <f t="shared" si="0"/>
        <v>1</v>
      </c>
      <c r="N23" s="25"/>
      <c r="O23" s="25"/>
      <c r="P23" s="25"/>
      <c r="Q23" s="22"/>
      <c r="R23" s="25"/>
      <c r="S23" s="22">
        <f t="shared" si="1"/>
        <v>2.4</v>
      </c>
      <c r="T23" s="22">
        <f t="shared" si="1"/>
        <v>1.2</v>
      </c>
      <c r="U23" s="22">
        <f t="shared" si="12"/>
        <v>0.75</v>
      </c>
      <c r="V23" s="22">
        <f t="shared" si="2"/>
        <v>0.3</v>
      </c>
      <c r="W23" s="25">
        <f t="shared" si="3"/>
        <v>1.05</v>
      </c>
      <c r="X23" s="25">
        <f t="shared" si="4"/>
        <v>9.0719999999999992</v>
      </c>
      <c r="Y23" s="26">
        <v>1</v>
      </c>
      <c r="Z23" s="27">
        <f t="shared" si="5"/>
        <v>9</v>
      </c>
      <c r="AA23" s="25">
        <f t="shared" si="6"/>
        <v>8.64</v>
      </c>
      <c r="AB23" s="28">
        <f>(E23*J23*K23*L23*Y23)-R23-X23</f>
        <v>16.847999999999995</v>
      </c>
      <c r="AC23" s="26">
        <f t="shared" si="8"/>
        <v>0.35612535612535623</v>
      </c>
      <c r="AD23" s="29">
        <v>6</v>
      </c>
      <c r="AE23" s="26">
        <f t="shared" si="9"/>
        <v>0.64387464387464377</v>
      </c>
      <c r="AF23" s="29">
        <f t="shared" si="10"/>
        <v>10.847999999999995</v>
      </c>
      <c r="AG23" s="30"/>
      <c r="AH23" s="31">
        <f t="shared" si="11"/>
        <v>1.8719999999999994</v>
      </c>
      <c r="AI23" s="32" t="s">
        <v>58</v>
      </c>
      <c r="AJ23" s="34">
        <v>1</v>
      </c>
      <c r="AK23" s="34">
        <v>2</v>
      </c>
      <c r="AL23" s="34">
        <v>3</v>
      </c>
    </row>
    <row r="24" spans="2:38" x14ac:dyDescent="0.35">
      <c r="B24" s="21">
        <v>19</v>
      </c>
      <c r="C24" s="22" t="s">
        <v>61</v>
      </c>
      <c r="D24" s="23" t="s">
        <v>32</v>
      </c>
      <c r="E24" s="22">
        <v>3</v>
      </c>
      <c r="F24" s="22">
        <v>3</v>
      </c>
      <c r="G24" s="22" t="s">
        <v>33</v>
      </c>
      <c r="H24" s="22" t="s">
        <v>34</v>
      </c>
      <c r="I24" s="22" t="s">
        <v>57</v>
      </c>
      <c r="J24" s="22">
        <v>2.4</v>
      </c>
      <c r="K24" s="22">
        <v>1.2</v>
      </c>
      <c r="L24" s="22">
        <v>3</v>
      </c>
      <c r="M24" s="24">
        <f t="shared" si="0"/>
        <v>1</v>
      </c>
      <c r="N24" s="25"/>
      <c r="O24" s="25"/>
      <c r="P24" s="25"/>
      <c r="Q24" s="22"/>
      <c r="R24" s="25"/>
      <c r="S24" s="22">
        <f t="shared" si="1"/>
        <v>2.4</v>
      </c>
      <c r="T24" s="22">
        <f t="shared" si="1"/>
        <v>1.2</v>
      </c>
      <c r="U24" s="22">
        <f t="shared" si="12"/>
        <v>0.75</v>
      </c>
      <c r="V24" s="22">
        <f t="shared" si="2"/>
        <v>0.3</v>
      </c>
      <c r="W24" s="25">
        <f t="shared" si="3"/>
        <v>1.05</v>
      </c>
      <c r="X24" s="25">
        <f t="shared" si="4"/>
        <v>9.0719999999999992</v>
      </c>
      <c r="Y24" s="26">
        <v>1</v>
      </c>
      <c r="Z24" s="27">
        <f t="shared" si="5"/>
        <v>9</v>
      </c>
      <c r="AA24" s="25">
        <f t="shared" si="6"/>
        <v>8.64</v>
      </c>
      <c r="AB24" s="28">
        <f t="shared" si="7"/>
        <v>16.847999999999995</v>
      </c>
      <c r="AC24" s="26">
        <f t="shared" si="8"/>
        <v>0.17806267806267811</v>
      </c>
      <c r="AD24" s="29">
        <v>3</v>
      </c>
      <c r="AE24" s="26">
        <f t="shared" si="9"/>
        <v>0.82193732193732194</v>
      </c>
      <c r="AF24" s="29">
        <f t="shared" si="10"/>
        <v>13.847999999999995</v>
      </c>
      <c r="AG24" s="30"/>
      <c r="AH24" s="31">
        <f t="shared" si="11"/>
        <v>1.8719999999999994</v>
      </c>
      <c r="AI24" s="32" t="s">
        <v>58</v>
      </c>
      <c r="AJ24" s="34">
        <v>1</v>
      </c>
      <c r="AK24" s="34">
        <v>2</v>
      </c>
      <c r="AL24" s="34">
        <v>3</v>
      </c>
    </row>
    <row r="25" spans="2:38" ht="29" x14ac:dyDescent="0.35">
      <c r="B25" s="21">
        <v>20</v>
      </c>
      <c r="C25" s="22" t="s">
        <v>31</v>
      </c>
      <c r="D25" s="23" t="s">
        <v>32</v>
      </c>
      <c r="E25" s="22">
        <v>23</v>
      </c>
      <c r="F25" s="22">
        <v>5</v>
      </c>
      <c r="G25" s="22" t="s">
        <v>33</v>
      </c>
      <c r="H25" s="22" t="s">
        <v>63</v>
      </c>
      <c r="I25" s="22" t="s">
        <v>35</v>
      </c>
      <c r="J25" s="22">
        <v>2.4</v>
      </c>
      <c r="K25" s="22">
        <v>1.2</v>
      </c>
      <c r="L25" s="22">
        <v>6</v>
      </c>
      <c r="M25" s="24">
        <f t="shared" si="0"/>
        <v>1.2</v>
      </c>
      <c r="N25" s="25">
        <f>J25*3</f>
        <v>7.1999999999999993</v>
      </c>
      <c r="O25" s="25">
        <f>K25</f>
        <v>1.2</v>
      </c>
      <c r="P25" s="25">
        <v>2.2599999999999998</v>
      </c>
      <c r="Q25" s="22" t="s">
        <v>36</v>
      </c>
      <c r="R25" s="25">
        <f>N25*O25*P25</f>
        <v>19.526399999999995</v>
      </c>
      <c r="S25" s="22">
        <f t="shared" si="1"/>
        <v>2.4</v>
      </c>
      <c r="T25" s="22">
        <f t="shared" si="1"/>
        <v>1.2</v>
      </c>
      <c r="U25" s="22">
        <f t="shared" si="12"/>
        <v>1.25</v>
      </c>
      <c r="V25" s="22">
        <f t="shared" si="2"/>
        <v>0.5</v>
      </c>
      <c r="W25" s="22">
        <f t="shared" si="3"/>
        <v>1.75</v>
      </c>
      <c r="X25" s="25">
        <f t="shared" si="4"/>
        <v>115.92</v>
      </c>
      <c r="Y25" s="26">
        <v>1</v>
      </c>
      <c r="Z25" s="27">
        <f t="shared" si="5"/>
        <v>115</v>
      </c>
      <c r="AA25" s="25">
        <f t="shared" si="6"/>
        <v>17.28</v>
      </c>
      <c r="AB25" s="28">
        <f>(E25*J25*K25*L25*Y25)-R25-X25</f>
        <v>261.99359999999996</v>
      </c>
      <c r="AC25" s="26">
        <f t="shared" si="8"/>
        <v>0.55841058712884606</v>
      </c>
      <c r="AD25" s="29">
        <v>146.30000000000001</v>
      </c>
      <c r="AE25" s="26">
        <f t="shared" si="9"/>
        <v>0.441589412871154</v>
      </c>
      <c r="AF25" s="29">
        <f t="shared" si="10"/>
        <v>115.69359999999995</v>
      </c>
      <c r="AG25" s="30">
        <v>3</v>
      </c>
      <c r="AH25" s="31">
        <f t="shared" si="11"/>
        <v>2.2782052173913039</v>
      </c>
      <c r="AI25" s="32" t="s">
        <v>64</v>
      </c>
      <c r="AJ25" s="34" t="s">
        <v>53</v>
      </c>
      <c r="AK25" s="34" t="s">
        <v>54</v>
      </c>
      <c r="AL25" s="34">
        <v>5</v>
      </c>
    </row>
    <row r="26" spans="2:38" ht="29" x14ac:dyDescent="0.35">
      <c r="B26" s="21">
        <v>21</v>
      </c>
      <c r="C26" s="22" t="s">
        <v>65</v>
      </c>
      <c r="D26" s="23" t="s">
        <v>32</v>
      </c>
      <c r="E26" s="22">
        <v>24</v>
      </c>
      <c r="F26" s="22">
        <v>5</v>
      </c>
      <c r="G26" s="22" t="s">
        <v>33</v>
      </c>
      <c r="H26" s="22" t="s">
        <v>63</v>
      </c>
      <c r="I26" s="22" t="s">
        <v>35</v>
      </c>
      <c r="J26" s="22">
        <v>2.4</v>
      </c>
      <c r="K26" s="22">
        <v>1.2</v>
      </c>
      <c r="L26" s="22">
        <v>6</v>
      </c>
      <c r="M26" s="24">
        <f t="shared" si="0"/>
        <v>1.2</v>
      </c>
      <c r="N26" s="25"/>
      <c r="O26" s="25"/>
      <c r="P26" s="25"/>
      <c r="Q26" s="22"/>
      <c r="R26" s="25"/>
      <c r="S26" s="22">
        <f t="shared" si="1"/>
        <v>2.4</v>
      </c>
      <c r="T26" s="22">
        <f t="shared" si="1"/>
        <v>1.2</v>
      </c>
      <c r="U26" s="22">
        <f t="shared" si="12"/>
        <v>1.25</v>
      </c>
      <c r="V26" s="22">
        <f t="shared" si="2"/>
        <v>0.5</v>
      </c>
      <c r="W26" s="22">
        <f t="shared" si="3"/>
        <v>1.75</v>
      </c>
      <c r="X26" s="25">
        <f>S26*T26*W26*E26</f>
        <v>120.96000000000001</v>
      </c>
      <c r="Y26" s="26">
        <v>1</v>
      </c>
      <c r="Z26" s="27">
        <f t="shared" si="5"/>
        <v>120</v>
      </c>
      <c r="AA26" s="25">
        <f t="shared" si="6"/>
        <v>17.28</v>
      </c>
      <c r="AB26" s="28">
        <f t="shared" si="7"/>
        <v>293.75999999999988</v>
      </c>
      <c r="AC26" s="26">
        <f t="shared" si="8"/>
        <v>0.81120642701525092</v>
      </c>
      <c r="AD26" s="29">
        <v>238.3</v>
      </c>
      <c r="AE26" s="26">
        <f t="shared" si="9"/>
        <v>0.18879357298474908</v>
      </c>
      <c r="AF26" s="29">
        <f t="shared" si="10"/>
        <v>55.459999999999866</v>
      </c>
      <c r="AG26" s="30"/>
      <c r="AH26" s="31">
        <f t="shared" si="11"/>
        <v>2.4479999999999991</v>
      </c>
      <c r="AI26" s="32" t="s">
        <v>66</v>
      </c>
      <c r="AJ26" s="34" t="s">
        <v>53</v>
      </c>
      <c r="AK26" s="34" t="s">
        <v>54</v>
      </c>
      <c r="AL26" s="34">
        <v>5</v>
      </c>
    </row>
    <row r="27" spans="2:38" ht="29" x14ac:dyDescent="0.35">
      <c r="B27" s="21">
        <v>22</v>
      </c>
      <c r="C27" s="22" t="s">
        <v>65</v>
      </c>
      <c r="D27" s="23" t="s">
        <v>32</v>
      </c>
      <c r="E27" s="22">
        <v>24</v>
      </c>
      <c r="F27" s="22">
        <v>5</v>
      </c>
      <c r="G27" s="22" t="s">
        <v>33</v>
      </c>
      <c r="H27" s="38" t="s">
        <v>63</v>
      </c>
      <c r="I27" s="22" t="s">
        <v>35</v>
      </c>
      <c r="J27" s="22">
        <v>2.4</v>
      </c>
      <c r="K27" s="22">
        <v>1.2</v>
      </c>
      <c r="L27" s="22">
        <v>6</v>
      </c>
      <c r="M27" s="24">
        <f t="shared" si="0"/>
        <v>1.2</v>
      </c>
      <c r="N27" s="25"/>
      <c r="O27" s="25"/>
      <c r="P27" s="25"/>
      <c r="Q27" s="22"/>
      <c r="R27" s="25"/>
      <c r="S27" s="22">
        <f t="shared" si="1"/>
        <v>2.4</v>
      </c>
      <c r="T27" s="22">
        <f t="shared" si="1"/>
        <v>1.2</v>
      </c>
      <c r="U27" s="22">
        <f t="shared" si="12"/>
        <v>1.25</v>
      </c>
      <c r="V27" s="22">
        <f t="shared" si="2"/>
        <v>0.5</v>
      </c>
      <c r="W27" s="22">
        <f t="shared" si="3"/>
        <v>1.75</v>
      </c>
      <c r="X27" s="25">
        <f t="shared" si="4"/>
        <v>120.96000000000001</v>
      </c>
      <c r="Y27" s="26">
        <v>1</v>
      </c>
      <c r="Z27" s="27">
        <f t="shared" si="5"/>
        <v>120</v>
      </c>
      <c r="AA27" s="25">
        <f t="shared" si="6"/>
        <v>17.28</v>
      </c>
      <c r="AB27" s="28">
        <f t="shared" si="7"/>
        <v>293.75999999999988</v>
      </c>
      <c r="AC27" s="26">
        <f t="shared" si="8"/>
        <v>0.74925108932461904</v>
      </c>
      <c r="AD27" s="29">
        <v>220.1</v>
      </c>
      <c r="AE27" s="26">
        <f t="shared" si="9"/>
        <v>0.25074891067538096</v>
      </c>
      <c r="AF27" s="29">
        <f t="shared" si="10"/>
        <v>73.659999999999883</v>
      </c>
      <c r="AG27" s="30"/>
      <c r="AH27" s="31">
        <f t="shared" si="11"/>
        <v>2.4479999999999991</v>
      </c>
      <c r="AI27" s="32" t="s">
        <v>66</v>
      </c>
      <c r="AJ27" s="34" t="s">
        <v>53</v>
      </c>
      <c r="AK27" s="34" t="s">
        <v>54</v>
      </c>
      <c r="AL27" s="34">
        <v>5</v>
      </c>
    </row>
    <row r="28" spans="2:38" ht="29" x14ac:dyDescent="0.35">
      <c r="B28" s="21">
        <v>23</v>
      </c>
      <c r="C28" s="22" t="s">
        <v>65</v>
      </c>
      <c r="D28" s="23" t="s">
        <v>32</v>
      </c>
      <c r="E28" s="22">
        <v>24</v>
      </c>
      <c r="F28" s="22">
        <v>5</v>
      </c>
      <c r="G28" s="22" t="s">
        <v>33</v>
      </c>
      <c r="H28" s="38" t="s">
        <v>63</v>
      </c>
      <c r="I28" s="22" t="s">
        <v>35</v>
      </c>
      <c r="J28" s="22">
        <v>2.4</v>
      </c>
      <c r="K28" s="22">
        <v>1.2</v>
      </c>
      <c r="L28" s="22">
        <v>6</v>
      </c>
      <c r="M28" s="24">
        <f t="shared" si="0"/>
        <v>1.2</v>
      </c>
      <c r="N28" s="25"/>
      <c r="O28" s="25"/>
      <c r="P28" s="25"/>
      <c r="Q28" s="22"/>
      <c r="R28" s="25"/>
      <c r="S28" s="22">
        <f t="shared" si="1"/>
        <v>2.4</v>
      </c>
      <c r="T28" s="22">
        <f t="shared" si="1"/>
        <v>1.2</v>
      </c>
      <c r="U28" s="22">
        <f t="shared" si="12"/>
        <v>1.25</v>
      </c>
      <c r="V28" s="22">
        <f t="shared" si="2"/>
        <v>0.5</v>
      </c>
      <c r="W28" s="22">
        <f t="shared" si="3"/>
        <v>1.75</v>
      </c>
      <c r="X28" s="25">
        <f t="shared" si="4"/>
        <v>120.96000000000001</v>
      </c>
      <c r="Y28" s="26">
        <v>1</v>
      </c>
      <c r="Z28" s="27">
        <f t="shared" si="5"/>
        <v>120</v>
      </c>
      <c r="AA28" s="25">
        <f t="shared" si="6"/>
        <v>17.28</v>
      </c>
      <c r="AB28" s="28">
        <f t="shared" si="7"/>
        <v>293.75999999999988</v>
      </c>
      <c r="AC28" s="26">
        <f t="shared" si="8"/>
        <v>0.71384803921568651</v>
      </c>
      <c r="AD28" s="29">
        <v>209.7</v>
      </c>
      <c r="AE28" s="26">
        <f t="shared" si="9"/>
        <v>0.28615196078431349</v>
      </c>
      <c r="AF28" s="29">
        <f t="shared" si="10"/>
        <v>84.059999999999889</v>
      </c>
      <c r="AG28" s="30"/>
      <c r="AH28" s="31">
        <f t="shared" si="11"/>
        <v>2.4479999999999991</v>
      </c>
      <c r="AI28" s="32" t="s">
        <v>66</v>
      </c>
      <c r="AJ28" s="34" t="s">
        <v>53</v>
      </c>
      <c r="AK28" s="34" t="s">
        <v>54</v>
      </c>
      <c r="AL28" s="34">
        <v>5</v>
      </c>
    </row>
    <row r="29" spans="2:38" x14ac:dyDescent="0.35">
      <c r="B29" s="21">
        <v>24</v>
      </c>
      <c r="C29" s="22" t="s">
        <v>67</v>
      </c>
      <c r="D29" s="39" t="s">
        <v>68</v>
      </c>
      <c r="E29" s="22">
        <v>25</v>
      </c>
      <c r="F29" s="22">
        <v>8</v>
      </c>
      <c r="G29" s="36" t="s">
        <v>39</v>
      </c>
      <c r="H29" s="38" t="s">
        <v>63</v>
      </c>
      <c r="I29" s="22" t="s">
        <v>35</v>
      </c>
      <c r="J29" s="22">
        <v>2.7</v>
      </c>
      <c r="K29" s="22">
        <v>0.8</v>
      </c>
      <c r="L29" s="22">
        <v>6</v>
      </c>
      <c r="M29" s="24">
        <f t="shared" si="0"/>
        <v>0.75</v>
      </c>
      <c r="N29" s="25"/>
      <c r="O29" s="25"/>
      <c r="P29" s="25"/>
      <c r="Q29" s="22"/>
      <c r="R29" s="25"/>
      <c r="S29" s="22">
        <f t="shared" si="1"/>
        <v>2.7</v>
      </c>
      <c r="T29" s="22">
        <f t="shared" si="1"/>
        <v>0.8</v>
      </c>
      <c r="U29" s="22">
        <f t="shared" ref="U29:U49" si="13">(((F29-1)*6)+15)/100</f>
        <v>0.56999999999999995</v>
      </c>
      <c r="V29" s="22">
        <f t="shared" si="2"/>
        <v>0.8</v>
      </c>
      <c r="W29" s="22">
        <f t="shared" si="3"/>
        <v>1.37</v>
      </c>
      <c r="X29" s="25">
        <f t="shared" si="4"/>
        <v>73.980000000000018</v>
      </c>
      <c r="Y29" s="26">
        <v>1</v>
      </c>
      <c r="Z29" s="27">
        <f t="shared" si="5"/>
        <v>200</v>
      </c>
      <c r="AA29" s="25">
        <f t="shared" si="6"/>
        <v>12.96</v>
      </c>
      <c r="AB29" s="28">
        <f t="shared" si="7"/>
        <v>250.01999999999998</v>
      </c>
      <c r="AC29" s="26">
        <f t="shared" si="8"/>
        <v>0.22318214542836573</v>
      </c>
      <c r="AD29" s="29">
        <v>55.8</v>
      </c>
      <c r="AE29" s="26">
        <f t="shared" si="9"/>
        <v>0.77681785457163421</v>
      </c>
      <c r="AF29" s="29">
        <f t="shared" si="10"/>
        <v>194.21999999999997</v>
      </c>
      <c r="AG29" s="30"/>
      <c r="AH29" s="31">
        <f t="shared" si="11"/>
        <v>1.2501</v>
      </c>
      <c r="AI29" s="32" t="s">
        <v>44</v>
      </c>
      <c r="AJ29" s="34" t="s">
        <v>38</v>
      </c>
      <c r="AK29" s="34" t="s">
        <v>41</v>
      </c>
      <c r="AL29" s="34" t="s">
        <v>45</v>
      </c>
    </row>
    <row r="30" spans="2:38" x14ac:dyDescent="0.35">
      <c r="B30" s="21">
        <v>25</v>
      </c>
      <c r="C30" s="22" t="s">
        <v>65</v>
      </c>
      <c r="D30" s="39" t="s">
        <v>68</v>
      </c>
      <c r="E30" s="22">
        <v>24</v>
      </c>
      <c r="F30" s="22">
        <v>8</v>
      </c>
      <c r="G30" s="36" t="s">
        <v>39</v>
      </c>
      <c r="H30" s="38" t="s">
        <v>63</v>
      </c>
      <c r="I30" s="22" t="s">
        <v>35</v>
      </c>
      <c r="J30" s="22">
        <v>2.7</v>
      </c>
      <c r="K30" s="22">
        <v>0.8</v>
      </c>
      <c r="L30" s="22">
        <v>6</v>
      </c>
      <c r="M30" s="24">
        <f t="shared" si="0"/>
        <v>0.75</v>
      </c>
      <c r="N30" s="25"/>
      <c r="O30" s="25"/>
      <c r="P30" s="25"/>
      <c r="Q30" s="22"/>
      <c r="R30" s="25"/>
      <c r="S30" s="22">
        <f t="shared" si="1"/>
        <v>2.7</v>
      </c>
      <c r="T30" s="22">
        <f t="shared" si="1"/>
        <v>0.8</v>
      </c>
      <c r="U30" s="22">
        <f t="shared" si="13"/>
        <v>0.56999999999999995</v>
      </c>
      <c r="V30" s="22">
        <f t="shared" si="2"/>
        <v>0.8</v>
      </c>
      <c r="W30" s="22">
        <f t="shared" si="3"/>
        <v>1.37</v>
      </c>
      <c r="X30" s="25">
        <f t="shared" si="4"/>
        <v>71.020800000000008</v>
      </c>
      <c r="Y30" s="26">
        <v>1</v>
      </c>
      <c r="Z30" s="27">
        <f t="shared" si="5"/>
        <v>192</v>
      </c>
      <c r="AA30" s="25">
        <f t="shared" si="6"/>
        <v>12.96</v>
      </c>
      <c r="AB30" s="28">
        <f t="shared" si="7"/>
        <v>240.01920000000007</v>
      </c>
      <c r="AC30" s="26">
        <f t="shared" si="8"/>
        <v>0.16956976775191315</v>
      </c>
      <c r="AD30" s="29">
        <v>40.700000000000003</v>
      </c>
      <c r="AE30" s="26">
        <f t="shared" si="9"/>
        <v>0.83043023224808687</v>
      </c>
      <c r="AF30" s="29">
        <f t="shared" si="10"/>
        <v>199.31920000000008</v>
      </c>
      <c r="AG30" s="30"/>
      <c r="AH30" s="31">
        <f t="shared" si="11"/>
        <v>1.2501000000000004</v>
      </c>
      <c r="AI30" s="32" t="s">
        <v>44</v>
      </c>
      <c r="AJ30" s="34" t="s">
        <v>38</v>
      </c>
      <c r="AK30" s="34" t="s">
        <v>41</v>
      </c>
      <c r="AL30" s="34" t="s">
        <v>45</v>
      </c>
    </row>
    <row r="31" spans="2:38" ht="43.5" x14ac:dyDescent="0.35">
      <c r="B31" s="21">
        <v>26</v>
      </c>
      <c r="C31" s="22" t="s">
        <v>67</v>
      </c>
      <c r="D31" s="39" t="s">
        <v>68</v>
      </c>
      <c r="E31" s="22">
        <v>25</v>
      </c>
      <c r="F31" s="22">
        <v>8</v>
      </c>
      <c r="G31" s="36" t="s">
        <v>39</v>
      </c>
      <c r="H31" s="38" t="s">
        <v>63</v>
      </c>
      <c r="I31" s="22" t="s">
        <v>35</v>
      </c>
      <c r="J31" s="22">
        <v>2.7</v>
      </c>
      <c r="K31" s="22">
        <v>0.8</v>
      </c>
      <c r="L31" s="22">
        <v>6</v>
      </c>
      <c r="M31" s="24">
        <f t="shared" si="0"/>
        <v>0.75</v>
      </c>
      <c r="N31" s="25"/>
      <c r="O31" s="25"/>
      <c r="P31" s="25"/>
      <c r="Q31" s="22"/>
      <c r="R31" s="25"/>
      <c r="S31" s="22">
        <f t="shared" si="1"/>
        <v>2.7</v>
      </c>
      <c r="T31" s="22">
        <f t="shared" si="1"/>
        <v>0.8</v>
      </c>
      <c r="U31" s="22">
        <f t="shared" si="13"/>
        <v>0.56999999999999995</v>
      </c>
      <c r="V31" s="22">
        <f t="shared" si="2"/>
        <v>0.8</v>
      </c>
      <c r="W31" s="22">
        <f t="shared" si="3"/>
        <v>1.37</v>
      </c>
      <c r="X31" s="25">
        <f t="shared" si="4"/>
        <v>73.980000000000018</v>
      </c>
      <c r="Y31" s="26">
        <v>1</v>
      </c>
      <c r="Z31" s="27">
        <f t="shared" si="5"/>
        <v>200</v>
      </c>
      <c r="AA31" s="25">
        <f t="shared" si="6"/>
        <v>12.96</v>
      </c>
      <c r="AB31" s="28">
        <f t="shared" si="7"/>
        <v>250.01999999999998</v>
      </c>
      <c r="AC31" s="26">
        <f t="shared" si="8"/>
        <v>0.47596192304615637</v>
      </c>
      <c r="AD31" s="29">
        <v>119</v>
      </c>
      <c r="AE31" s="26">
        <f t="shared" si="9"/>
        <v>0.52403807695384363</v>
      </c>
      <c r="AF31" s="29">
        <f t="shared" si="10"/>
        <v>131.01999999999998</v>
      </c>
      <c r="AG31" s="30"/>
      <c r="AH31" s="31">
        <f t="shared" si="11"/>
        <v>1.2501</v>
      </c>
      <c r="AI31" s="32" t="s">
        <v>69</v>
      </c>
      <c r="AJ31" s="34" t="s">
        <v>38</v>
      </c>
      <c r="AK31" s="34" t="s">
        <v>41</v>
      </c>
      <c r="AL31" s="34" t="s">
        <v>45</v>
      </c>
    </row>
    <row r="32" spans="2:38" ht="43.5" x14ac:dyDescent="0.35">
      <c r="B32" s="21">
        <v>27</v>
      </c>
      <c r="C32" s="22" t="s">
        <v>65</v>
      </c>
      <c r="D32" s="39" t="s">
        <v>68</v>
      </c>
      <c r="E32" s="22">
        <v>24</v>
      </c>
      <c r="F32" s="22">
        <v>8</v>
      </c>
      <c r="G32" s="36" t="s">
        <v>39</v>
      </c>
      <c r="H32" s="38" t="s">
        <v>63</v>
      </c>
      <c r="I32" s="22" t="s">
        <v>35</v>
      </c>
      <c r="J32" s="22">
        <v>2.7</v>
      </c>
      <c r="K32" s="22">
        <v>0.8</v>
      </c>
      <c r="L32" s="22">
        <v>6</v>
      </c>
      <c r="M32" s="24">
        <f t="shared" si="0"/>
        <v>0.75</v>
      </c>
      <c r="N32" s="25"/>
      <c r="O32" s="25"/>
      <c r="P32" s="25"/>
      <c r="Q32" s="22"/>
      <c r="R32" s="25"/>
      <c r="S32" s="22">
        <f t="shared" si="1"/>
        <v>2.7</v>
      </c>
      <c r="T32" s="22">
        <f t="shared" si="1"/>
        <v>0.8</v>
      </c>
      <c r="U32" s="22">
        <f t="shared" si="13"/>
        <v>0.56999999999999995</v>
      </c>
      <c r="V32" s="22">
        <f t="shared" si="2"/>
        <v>0.8</v>
      </c>
      <c r="W32" s="22">
        <f t="shared" si="3"/>
        <v>1.37</v>
      </c>
      <c r="X32" s="25">
        <f t="shared" si="4"/>
        <v>71.020800000000008</v>
      </c>
      <c r="Y32" s="26">
        <v>1</v>
      </c>
      <c r="Z32" s="27">
        <f t="shared" si="5"/>
        <v>192</v>
      </c>
      <c r="AA32" s="25">
        <f t="shared" si="6"/>
        <v>12.96</v>
      </c>
      <c r="AB32" s="28">
        <f t="shared" si="7"/>
        <v>240.01920000000007</v>
      </c>
      <c r="AC32" s="26">
        <f t="shared" si="8"/>
        <v>0.52120830333573298</v>
      </c>
      <c r="AD32" s="29">
        <v>125.1</v>
      </c>
      <c r="AE32" s="26">
        <f t="shared" si="9"/>
        <v>0.47879169666426702</v>
      </c>
      <c r="AF32" s="29">
        <f t="shared" si="10"/>
        <v>114.91920000000007</v>
      </c>
      <c r="AG32" s="30"/>
      <c r="AH32" s="31">
        <f t="shared" si="11"/>
        <v>1.2501000000000004</v>
      </c>
      <c r="AI32" s="32" t="s">
        <v>69</v>
      </c>
      <c r="AJ32" s="34" t="s">
        <v>38</v>
      </c>
      <c r="AK32" s="34" t="s">
        <v>41</v>
      </c>
      <c r="AL32" s="34" t="s">
        <v>45</v>
      </c>
    </row>
    <row r="33" spans="2:38" ht="29" x14ac:dyDescent="0.35">
      <c r="B33" s="21">
        <v>28</v>
      </c>
      <c r="C33" s="22" t="s">
        <v>67</v>
      </c>
      <c r="D33" s="39" t="s">
        <v>68</v>
      </c>
      <c r="E33" s="22">
        <v>25</v>
      </c>
      <c r="F33" s="22">
        <v>8</v>
      </c>
      <c r="G33" s="36" t="s">
        <v>39</v>
      </c>
      <c r="H33" s="38" t="s">
        <v>63</v>
      </c>
      <c r="I33" s="22" t="s">
        <v>35</v>
      </c>
      <c r="J33" s="22">
        <v>2.7</v>
      </c>
      <c r="K33" s="22">
        <v>0.8</v>
      </c>
      <c r="L33" s="22">
        <v>6</v>
      </c>
      <c r="M33" s="24">
        <f t="shared" si="0"/>
        <v>0.75</v>
      </c>
      <c r="N33" s="25"/>
      <c r="O33" s="25"/>
      <c r="P33" s="25"/>
      <c r="Q33" s="22"/>
      <c r="R33" s="25"/>
      <c r="S33" s="22">
        <f t="shared" si="1"/>
        <v>2.7</v>
      </c>
      <c r="T33" s="22">
        <f t="shared" si="1"/>
        <v>0.8</v>
      </c>
      <c r="U33" s="22">
        <f t="shared" si="13"/>
        <v>0.56999999999999995</v>
      </c>
      <c r="V33" s="22">
        <f t="shared" si="2"/>
        <v>0.8</v>
      </c>
      <c r="W33" s="22">
        <f t="shared" si="3"/>
        <v>1.37</v>
      </c>
      <c r="X33" s="25">
        <f t="shared" si="4"/>
        <v>73.980000000000018</v>
      </c>
      <c r="Y33" s="26">
        <v>1</v>
      </c>
      <c r="Z33" s="27">
        <f t="shared" si="5"/>
        <v>200</v>
      </c>
      <c r="AA33" s="25">
        <f t="shared" si="6"/>
        <v>12.96</v>
      </c>
      <c r="AB33" s="28">
        <f t="shared" si="7"/>
        <v>250.01999999999998</v>
      </c>
      <c r="AC33" s="26">
        <f t="shared" si="8"/>
        <v>0.3815694744420447</v>
      </c>
      <c r="AD33" s="29">
        <v>95.4</v>
      </c>
      <c r="AE33" s="26">
        <f t="shared" si="9"/>
        <v>0.6184305255579553</v>
      </c>
      <c r="AF33" s="29">
        <f t="shared" si="10"/>
        <v>154.61999999999998</v>
      </c>
      <c r="AG33" s="30"/>
      <c r="AH33" s="31">
        <f t="shared" si="11"/>
        <v>1.2501</v>
      </c>
      <c r="AI33" s="32" t="s">
        <v>70</v>
      </c>
      <c r="AJ33" s="34" t="s">
        <v>38</v>
      </c>
      <c r="AK33" s="34" t="s">
        <v>41</v>
      </c>
      <c r="AL33" s="34" t="s">
        <v>45</v>
      </c>
    </row>
    <row r="34" spans="2:38" ht="29" x14ac:dyDescent="0.35">
      <c r="B34" s="21">
        <v>29</v>
      </c>
      <c r="C34" s="22" t="s">
        <v>65</v>
      </c>
      <c r="D34" s="39" t="s">
        <v>68</v>
      </c>
      <c r="E34" s="22">
        <v>24</v>
      </c>
      <c r="F34" s="22">
        <v>8</v>
      </c>
      <c r="G34" s="36" t="s">
        <v>39</v>
      </c>
      <c r="H34" s="38" t="s">
        <v>63</v>
      </c>
      <c r="I34" s="22" t="s">
        <v>35</v>
      </c>
      <c r="J34" s="22">
        <v>2.7</v>
      </c>
      <c r="K34" s="22">
        <v>0.8</v>
      </c>
      <c r="L34" s="22">
        <v>6</v>
      </c>
      <c r="M34" s="24">
        <f t="shared" si="0"/>
        <v>0.75</v>
      </c>
      <c r="N34" s="25"/>
      <c r="O34" s="25"/>
      <c r="P34" s="25"/>
      <c r="Q34" s="22"/>
      <c r="R34" s="25"/>
      <c r="S34" s="22">
        <f t="shared" si="1"/>
        <v>2.7</v>
      </c>
      <c r="T34" s="22">
        <f t="shared" si="1"/>
        <v>0.8</v>
      </c>
      <c r="U34" s="22">
        <f t="shared" si="13"/>
        <v>0.56999999999999995</v>
      </c>
      <c r="V34" s="22">
        <f t="shared" si="2"/>
        <v>0.8</v>
      </c>
      <c r="W34" s="22">
        <f t="shared" si="3"/>
        <v>1.37</v>
      </c>
      <c r="X34" s="25">
        <f t="shared" si="4"/>
        <v>71.020800000000008</v>
      </c>
      <c r="Y34" s="26">
        <v>1</v>
      </c>
      <c r="Z34" s="27">
        <f t="shared" si="5"/>
        <v>192</v>
      </c>
      <c r="AA34" s="25">
        <f t="shared" si="6"/>
        <v>12.96</v>
      </c>
      <c r="AB34" s="28">
        <f t="shared" si="7"/>
        <v>240.01920000000007</v>
      </c>
      <c r="AC34" s="26">
        <f t="shared" si="8"/>
        <v>0.41913313601578528</v>
      </c>
      <c r="AD34" s="29">
        <v>100.6</v>
      </c>
      <c r="AE34" s="26">
        <f t="shared" si="9"/>
        <v>0.58086686398421472</v>
      </c>
      <c r="AF34" s="29">
        <f t="shared" si="10"/>
        <v>139.41920000000007</v>
      </c>
      <c r="AG34" s="30"/>
      <c r="AH34" s="31">
        <f t="shared" si="11"/>
        <v>1.2501000000000004</v>
      </c>
      <c r="AI34" s="32" t="s">
        <v>70</v>
      </c>
      <c r="AJ34" s="34" t="s">
        <v>38</v>
      </c>
      <c r="AK34" s="34" t="s">
        <v>41</v>
      </c>
      <c r="AL34" s="34" t="s">
        <v>45</v>
      </c>
    </row>
    <row r="35" spans="2:38" x14ac:dyDescent="0.35">
      <c r="B35" s="21">
        <v>30</v>
      </c>
      <c r="C35" s="22" t="s">
        <v>71</v>
      </c>
      <c r="D35" s="39" t="s">
        <v>68</v>
      </c>
      <c r="E35" s="22">
        <v>23</v>
      </c>
      <c r="F35" s="22">
        <v>7</v>
      </c>
      <c r="G35" s="36" t="s">
        <v>39</v>
      </c>
      <c r="H35" s="38" t="s">
        <v>63</v>
      </c>
      <c r="I35" s="22" t="s">
        <v>35</v>
      </c>
      <c r="J35" s="22">
        <v>2.7</v>
      </c>
      <c r="K35" s="22">
        <v>0.8</v>
      </c>
      <c r="L35" s="22">
        <f>6-0.54</f>
        <v>5.46</v>
      </c>
      <c r="M35" s="24">
        <f t="shared" si="0"/>
        <v>0.78</v>
      </c>
      <c r="N35" s="25"/>
      <c r="O35" s="25"/>
      <c r="P35" s="25"/>
      <c r="Q35" s="22"/>
      <c r="R35" s="25"/>
      <c r="S35" s="22">
        <f t="shared" si="1"/>
        <v>2.7</v>
      </c>
      <c r="T35" s="22">
        <f t="shared" si="1"/>
        <v>0.8</v>
      </c>
      <c r="U35" s="22">
        <f t="shared" si="13"/>
        <v>0.51</v>
      </c>
      <c r="V35" s="22">
        <f t="shared" si="2"/>
        <v>0.7</v>
      </c>
      <c r="W35" s="22">
        <f t="shared" si="3"/>
        <v>1.21</v>
      </c>
      <c r="X35" s="25">
        <f t="shared" si="4"/>
        <v>60.1128</v>
      </c>
      <c r="Y35" s="26">
        <v>1</v>
      </c>
      <c r="Z35" s="27">
        <f t="shared" si="5"/>
        <v>161</v>
      </c>
      <c r="AA35" s="25">
        <f t="shared" si="6"/>
        <v>11.793600000000001</v>
      </c>
      <c r="AB35" s="28">
        <f t="shared" si="7"/>
        <v>211.14000000000004</v>
      </c>
      <c r="AC35" s="26">
        <f t="shared" si="8"/>
        <v>0.32585014682201374</v>
      </c>
      <c r="AD35" s="29">
        <v>68.8</v>
      </c>
      <c r="AE35" s="26">
        <f t="shared" si="9"/>
        <v>0.67414985317798615</v>
      </c>
      <c r="AF35" s="29">
        <f t="shared" si="10"/>
        <v>142.34000000000003</v>
      </c>
      <c r="AG35" s="30"/>
      <c r="AH35" s="31">
        <f t="shared" si="11"/>
        <v>1.3114285714285716</v>
      </c>
      <c r="AI35" s="32" t="s">
        <v>72</v>
      </c>
      <c r="AJ35" s="34" t="s">
        <v>38</v>
      </c>
      <c r="AK35" s="34" t="s">
        <v>51</v>
      </c>
      <c r="AL35" s="34" t="s">
        <v>52</v>
      </c>
    </row>
    <row r="36" spans="2:38" x14ac:dyDescent="0.35">
      <c r="B36" s="21">
        <v>31</v>
      </c>
      <c r="C36" s="22"/>
      <c r="D36" s="39" t="s">
        <v>68</v>
      </c>
      <c r="E36" s="22">
        <v>20</v>
      </c>
      <c r="F36" s="22">
        <v>7</v>
      </c>
      <c r="G36" s="36" t="s">
        <v>39</v>
      </c>
      <c r="H36" s="38" t="s">
        <v>63</v>
      </c>
      <c r="I36" s="22" t="s">
        <v>35</v>
      </c>
      <c r="J36" s="22">
        <v>2.7</v>
      </c>
      <c r="K36" s="22">
        <v>0.8</v>
      </c>
      <c r="L36" s="22">
        <f>6-0.54</f>
        <v>5.46</v>
      </c>
      <c r="M36" s="24">
        <f t="shared" si="0"/>
        <v>0.78</v>
      </c>
      <c r="N36" s="25"/>
      <c r="O36" s="25"/>
      <c r="P36" s="25"/>
      <c r="Q36" s="22"/>
      <c r="R36" s="25"/>
      <c r="S36" s="22">
        <f t="shared" si="1"/>
        <v>2.7</v>
      </c>
      <c r="T36" s="22">
        <f t="shared" si="1"/>
        <v>0.8</v>
      </c>
      <c r="U36" s="22">
        <f t="shared" si="13"/>
        <v>0.51</v>
      </c>
      <c r="V36" s="22">
        <f t="shared" si="2"/>
        <v>0.7</v>
      </c>
      <c r="W36" s="22">
        <f t="shared" si="3"/>
        <v>1.21</v>
      </c>
      <c r="X36" s="25">
        <f t="shared" si="4"/>
        <v>52.271999999999998</v>
      </c>
      <c r="Y36" s="26">
        <v>1</v>
      </c>
      <c r="Z36" s="27">
        <f t="shared" si="5"/>
        <v>140</v>
      </c>
      <c r="AA36" s="25">
        <f t="shared" si="6"/>
        <v>11.793600000000001</v>
      </c>
      <c r="AB36" s="28">
        <f t="shared" si="7"/>
        <v>183.60000000000002</v>
      </c>
      <c r="AC36" s="26">
        <f t="shared" si="8"/>
        <v>0.34640522875816993</v>
      </c>
      <c r="AD36" s="29">
        <v>63.6</v>
      </c>
      <c r="AE36" s="26">
        <f t="shared" si="9"/>
        <v>0.65359477124183019</v>
      </c>
      <c r="AF36" s="29">
        <f t="shared" si="10"/>
        <v>120.00000000000003</v>
      </c>
      <c r="AG36" s="30"/>
      <c r="AH36" s="31">
        <f t="shared" si="11"/>
        <v>1.3114285714285716</v>
      </c>
      <c r="AI36" s="32" t="s">
        <v>72</v>
      </c>
      <c r="AJ36" s="34" t="s">
        <v>38</v>
      </c>
      <c r="AK36" s="34" t="s">
        <v>51</v>
      </c>
      <c r="AL36" s="34" t="s">
        <v>52</v>
      </c>
    </row>
    <row r="37" spans="2:38" x14ac:dyDescent="0.35">
      <c r="B37" s="21">
        <v>32</v>
      </c>
      <c r="C37" s="22"/>
      <c r="D37" s="39" t="s">
        <v>68</v>
      </c>
      <c r="E37" s="22">
        <v>24</v>
      </c>
      <c r="F37" s="22">
        <v>8</v>
      </c>
      <c r="G37" s="36" t="s">
        <v>39</v>
      </c>
      <c r="H37" s="38" t="s">
        <v>63</v>
      </c>
      <c r="I37" s="22" t="s">
        <v>35</v>
      </c>
      <c r="J37" s="22">
        <v>2.7</v>
      </c>
      <c r="K37" s="22">
        <v>0.8</v>
      </c>
      <c r="L37" s="22">
        <v>6</v>
      </c>
      <c r="M37" s="24">
        <f t="shared" si="0"/>
        <v>0.75</v>
      </c>
      <c r="N37" s="25"/>
      <c r="O37" s="25"/>
      <c r="P37" s="25"/>
      <c r="Q37" s="22"/>
      <c r="R37" s="25"/>
      <c r="S37" s="22">
        <f t="shared" si="1"/>
        <v>2.7</v>
      </c>
      <c r="T37" s="22">
        <f t="shared" si="1"/>
        <v>0.8</v>
      </c>
      <c r="U37" s="22">
        <f t="shared" si="13"/>
        <v>0.56999999999999995</v>
      </c>
      <c r="V37" s="22">
        <f t="shared" si="2"/>
        <v>0.8</v>
      </c>
      <c r="W37" s="22">
        <f t="shared" si="3"/>
        <v>1.37</v>
      </c>
      <c r="X37" s="25">
        <f t="shared" si="4"/>
        <v>71.020800000000008</v>
      </c>
      <c r="Y37" s="26">
        <v>1</v>
      </c>
      <c r="Z37" s="27">
        <f t="shared" si="5"/>
        <v>192</v>
      </c>
      <c r="AA37" s="25">
        <f t="shared" si="6"/>
        <v>12.96</v>
      </c>
      <c r="AB37" s="28">
        <f t="shared" si="7"/>
        <v>240.01920000000007</v>
      </c>
      <c r="AC37" s="26">
        <f t="shared" si="8"/>
        <v>0.44413113617577243</v>
      </c>
      <c r="AD37" s="29">
        <v>106.6</v>
      </c>
      <c r="AE37" s="26">
        <f t="shared" si="9"/>
        <v>0.55586886382422751</v>
      </c>
      <c r="AF37" s="29">
        <f t="shared" si="10"/>
        <v>133.41920000000007</v>
      </c>
      <c r="AG37" s="30"/>
      <c r="AH37" s="31">
        <f t="shared" si="11"/>
        <v>1.2501000000000004</v>
      </c>
      <c r="AI37" s="32" t="s">
        <v>72</v>
      </c>
      <c r="AJ37" s="34" t="s">
        <v>38</v>
      </c>
      <c r="AK37" s="34" t="s">
        <v>41</v>
      </c>
      <c r="AL37" s="34" t="s">
        <v>45</v>
      </c>
    </row>
    <row r="38" spans="2:38" ht="29" x14ac:dyDescent="0.35">
      <c r="B38" s="21">
        <v>33</v>
      </c>
      <c r="C38" s="22" t="s">
        <v>67</v>
      </c>
      <c r="D38" s="39" t="s">
        <v>68</v>
      </c>
      <c r="E38" s="22">
        <v>26</v>
      </c>
      <c r="F38" s="22">
        <v>8</v>
      </c>
      <c r="G38" s="36" t="s">
        <v>39</v>
      </c>
      <c r="H38" s="38" t="s">
        <v>63</v>
      </c>
      <c r="I38" s="22" t="s">
        <v>35</v>
      </c>
      <c r="J38" s="22">
        <v>2.7</v>
      </c>
      <c r="K38" s="22">
        <v>0.8</v>
      </c>
      <c r="L38" s="22">
        <v>6</v>
      </c>
      <c r="M38" s="24">
        <f t="shared" si="0"/>
        <v>0.75</v>
      </c>
      <c r="N38" s="25"/>
      <c r="O38" s="25"/>
      <c r="P38" s="25"/>
      <c r="Q38" s="22"/>
      <c r="R38" s="25"/>
      <c r="S38" s="22">
        <f t="shared" si="1"/>
        <v>2.7</v>
      </c>
      <c r="T38" s="22">
        <f t="shared" si="1"/>
        <v>0.8</v>
      </c>
      <c r="U38" s="22">
        <f t="shared" si="13"/>
        <v>0.56999999999999995</v>
      </c>
      <c r="V38" s="22">
        <f t="shared" si="2"/>
        <v>0.8</v>
      </c>
      <c r="W38" s="22">
        <f t="shared" si="3"/>
        <v>1.37</v>
      </c>
      <c r="X38" s="25">
        <f t="shared" si="4"/>
        <v>76.939200000000014</v>
      </c>
      <c r="Y38" s="26">
        <v>1</v>
      </c>
      <c r="Z38" s="27">
        <f t="shared" si="5"/>
        <v>208</v>
      </c>
      <c r="AA38" s="25">
        <f t="shared" si="6"/>
        <v>12.96</v>
      </c>
      <c r="AB38" s="28">
        <f t="shared" si="7"/>
        <v>260.02080000000001</v>
      </c>
      <c r="AC38" s="26">
        <f t="shared" si="8"/>
        <v>0.48111535692529211</v>
      </c>
      <c r="AD38" s="29">
        <v>125.1</v>
      </c>
      <c r="AE38" s="26">
        <f t="shared" si="9"/>
        <v>0.51888464307470794</v>
      </c>
      <c r="AF38" s="29">
        <f t="shared" si="10"/>
        <v>134.92080000000001</v>
      </c>
      <c r="AG38" s="30"/>
      <c r="AH38" s="31">
        <f t="shared" si="11"/>
        <v>1.2501</v>
      </c>
      <c r="AI38" s="32" t="s">
        <v>73</v>
      </c>
      <c r="AJ38" s="34" t="s">
        <v>38</v>
      </c>
      <c r="AK38" s="34" t="s">
        <v>41</v>
      </c>
      <c r="AL38" s="34" t="s">
        <v>45</v>
      </c>
    </row>
    <row r="39" spans="2:38" ht="29" x14ac:dyDescent="0.35">
      <c r="B39" s="21">
        <v>34</v>
      </c>
      <c r="C39" s="22"/>
      <c r="D39" s="39" t="s">
        <v>68</v>
      </c>
      <c r="E39" s="22">
        <v>26</v>
      </c>
      <c r="F39" s="22">
        <v>8</v>
      </c>
      <c r="G39" s="36" t="s">
        <v>39</v>
      </c>
      <c r="H39" s="38" t="s">
        <v>63</v>
      </c>
      <c r="I39" s="22" t="s">
        <v>46</v>
      </c>
      <c r="J39" s="22">
        <v>2.7</v>
      </c>
      <c r="K39" s="22">
        <v>0.8</v>
      </c>
      <c r="L39" s="22">
        <v>6</v>
      </c>
      <c r="M39" s="24">
        <f t="shared" si="0"/>
        <v>0.75</v>
      </c>
      <c r="N39" s="25">
        <f t="shared" ref="N39:O48" si="14">J39</f>
        <v>2.7</v>
      </c>
      <c r="O39" s="25">
        <f t="shared" si="14"/>
        <v>0.8</v>
      </c>
      <c r="P39" s="25">
        <v>0.54</v>
      </c>
      <c r="Q39" s="22" t="s">
        <v>36</v>
      </c>
      <c r="R39" s="25">
        <f t="shared" ref="R39:R48" si="15">N39*O39*P39</f>
        <v>1.1664000000000001</v>
      </c>
      <c r="S39" s="22">
        <f t="shared" si="1"/>
        <v>2.7</v>
      </c>
      <c r="T39" s="22">
        <f t="shared" si="1"/>
        <v>0.8</v>
      </c>
      <c r="U39" s="22">
        <f t="shared" si="13"/>
        <v>0.56999999999999995</v>
      </c>
      <c r="V39" s="22">
        <f t="shared" si="2"/>
        <v>0.8</v>
      </c>
      <c r="W39" s="22">
        <f t="shared" si="3"/>
        <v>1.37</v>
      </c>
      <c r="X39" s="25">
        <f t="shared" si="4"/>
        <v>76.939200000000014</v>
      </c>
      <c r="Y39" s="26">
        <v>1</v>
      </c>
      <c r="Z39" s="27">
        <f t="shared" si="5"/>
        <v>208</v>
      </c>
      <c r="AA39" s="25">
        <f t="shared" si="6"/>
        <v>12.96</v>
      </c>
      <c r="AB39" s="28">
        <f t="shared" si="7"/>
        <v>258.8544</v>
      </c>
      <c r="AC39" s="26">
        <f t="shared" si="8"/>
        <v>0.62390285813183011</v>
      </c>
      <c r="AD39" s="29">
        <v>161.5</v>
      </c>
      <c r="AE39" s="26">
        <f t="shared" si="9"/>
        <v>0.37609714186816989</v>
      </c>
      <c r="AF39" s="29">
        <f t="shared" si="10"/>
        <v>97.354399999999998</v>
      </c>
      <c r="AG39" s="30"/>
      <c r="AH39" s="31">
        <f t="shared" si="11"/>
        <v>1.2444923076923078</v>
      </c>
      <c r="AI39" s="32" t="s">
        <v>74</v>
      </c>
      <c r="AJ39" s="34" t="s">
        <v>38</v>
      </c>
      <c r="AK39" s="34" t="s">
        <v>41</v>
      </c>
      <c r="AL39" s="34" t="s">
        <v>45</v>
      </c>
    </row>
    <row r="40" spans="2:38" ht="29" x14ac:dyDescent="0.35">
      <c r="B40" s="21">
        <v>35</v>
      </c>
      <c r="C40" s="22"/>
      <c r="D40" s="39" t="s">
        <v>68</v>
      </c>
      <c r="E40" s="22">
        <v>24</v>
      </c>
      <c r="F40" s="22">
        <v>8</v>
      </c>
      <c r="G40" s="36" t="s">
        <v>39</v>
      </c>
      <c r="H40" s="38" t="s">
        <v>63</v>
      </c>
      <c r="I40" s="22" t="s">
        <v>46</v>
      </c>
      <c r="J40" s="22">
        <v>2.7</v>
      </c>
      <c r="K40" s="22">
        <v>0.8</v>
      </c>
      <c r="L40" s="22">
        <v>6</v>
      </c>
      <c r="M40" s="24">
        <f t="shared" si="0"/>
        <v>0.75</v>
      </c>
      <c r="N40" s="25">
        <f t="shared" si="14"/>
        <v>2.7</v>
      </c>
      <c r="O40" s="25">
        <f t="shared" si="14"/>
        <v>0.8</v>
      </c>
      <c r="P40" s="25">
        <v>0.54</v>
      </c>
      <c r="Q40" s="22" t="s">
        <v>36</v>
      </c>
      <c r="R40" s="25">
        <f t="shared" si="15"/>
        <v>1.1664000000000001</v>
      </c>
      <c r="S40" s="22">
        <f t="shared" si="1"/>
        <v>2.7</v>
      </c>
      <c r="T40" s="22">
        <f t="shared" si="1"/>
        <v>0.8</v>
      </c>
      <c r="U40" s="22">
        <f t="shared" si="13"/>
        <v>0.56999999999999995</v>
      </c>
      <c r="V40" s="22">
        <f t="shared" si="2"/>
        <v>0.8</v>
      </c>
      <c r="W40" s="22">
        <f t="shared" si="3"/>
        <v>1.37</v>
      </c>
      <c r="X40" s="25">
        <f t="shared" si="4"/>
        <v>71.020800000000008</v>
      </c>
      <c r="Y40" s="26">
        <v>1</v>
      </c>
      <c r="Z40" s="27">
        <f t="shared" si="5"/>
        <v>192</v>
      </c>
      <c r="AA40" s="25">
        <f t="shared" si="6"/>
        <v>12.96</v>
      </c>
      <c r="AB40" s="28">
        <f t="shared" si="7"/>
        <v>238.85280000000006</v>
      </c>
      <c r="AC40" s="26">
        <f t="shared" si="8"/>
        <v>0.69582604851188656</v>
      </c>
      <c r="AD40" s="29">
        <v>166.2</v>
      </c>
      <c r="AE40" s="26">
        <f t="shared" si="9"/>
        <v>0.30417395148811338</v>
      </c>
      <c r="AF40" s="29">
        <f t="shared" si="10"/>
        <v>72.65280000000007</v>
      </c>
      <c r="AG40" s="30"/>
      <c r="AH40" s="31">
        <f t="shared" si="11"/>
        <v>1.2440250000000004</v>
      </c>
      <c r="AI40" s="32" t="s">
        <v>74</v>
      </c>
      <c r="AJ40" s="34" t="s">
        <v>38</v>
      </c>
      <c r="AK40" s="34" t="s">
        <v>41</v>
      </c>
      <c r="AL40" s="34" t="s">
        <v>45</v>
      </c>
    </row>
    <row r="41" spans="2:38" x14ac:dyDescent="0.35">
      <c r="B41" s="21">
        <v>36</v>
      </c>
      <c r="C41" s="22"/>
      <c r="D41" s="39" t="s">
        <v>68</v>
      </c>
      <c r="E41" s="22">
        <v>25</v>
      </c>
      <c r="F41" s="22">
        <v>8</v>
      </c>
      <c r="G41" s="36" t="s">
        <v>39</v>
      </c>
      <c r="H41" s="38" t="s">
        <v>63</v>
      </c>
      <c r="I41" s="22" t="s">
        <v>46</v>
      </c>
      <c r="J41" s="22">
        <v>2.7</v>
      </c>
      <c r="K41" s="22">
        <v>0.8</v>
      </c>
      <c r="L41" s="22">
        <v>6</v>
      </c>
      <c r="M41" s="24">
        <f t="shared" si="0"/>
        <v>0.75</v>
      </c>
      <c r="N41" s="25">
        <f t="shared" si="14"/>
        <v>2.7</v>
      </c>
      <c r="O41" s="25">
        <f t="shared" si="14"/>
        <v>0.8</v>
      </c>
      <c r="P41" s="25">
        <v>0.54</v>
      </c>
      <c r="Q41" s="22" t="s">
        <v>36</v>
      </c>
      <c r="R41" s="25">
        <f t="shared" si="15"/>
        <v>1.1664000000000001</v>
      </c>
      <c r="S41" s="22">
        <f t="shared" si="1"/>
        <v>2.7</v>
      </c>
      <c r="T41" s="22">
        <f t="shared" si="1"/>
        <v>0.8</v>
      </c>
      <c r="U41" s="22">
        <f t="shared" si="13"/>
        <v>0.56999999999999995</v>
      </c>
      <c r="V41" s="22">
        <f t="shared" si="2"/>
        <v>0.8</v>
      </c>
      <c r="W41" s="22">
        <f t="shared" si="3"/>
        <v>1.37</v>
      </c>
      <c r="X41" s="25">
        <f t="shared" si="4"/>
        <v>73.980000000000018</v>
      </c>
      <c r="Y41" s="26">
        <v>1</v>
      </c>
      <c r="Z41" s="27">
        <f t="shared" si="5"/>
        <v>200</v>
      </c>
      <c r="AA41" s="25">
        <f t="shared" si="6"/>
        <v>12.96</v>
      </c>
      <c r="AB41" s="28">
        <f t="shared" si="7"/>
        <v>248.85359999999997</v>
      </c>
      <c r="AC41" s="26">
        <f t="shared" si="8"/>
        <v>0.32147415187081885</v>
      </c>
      <c r="AD41" s="29">
        <v>80</v>
      </c>
      <c r="AE41" s="26">
        <f t="shared" si="9"/>
        <v>0.67852584812918115</v>
      </c>
      <c r="AF41" s="29">
        <f t="shared" si="10"/>
        <v>168.85359999999997</v>
      </c>
      <c r="AG41" s="30"/>
      <c r="AH41" s="31">
        <f t="shared" si="11"/>
        <v>1.2442679999999999</v>
      </c>
      <c r="AI41" s="32" t="s">
        <v>75</v>
      </c>
      <c r="AJ41" s="34" t="s">
        <v>38</v>
      </c>
      <c r="AK41" s="34" t="s">
        <v>41</v>
      </c>
      <c r="AL41" s="34" t="s">
        <v>45</v>
      </c>
    </row>
    <row r="42" spans="2:38" x14ac:dyDescent="0.35">
      <c r="B42" s="21">
        <v>37</v>
      </c>
      <c r="C42" s="22"/>
      <c r="D42" s="39" t="s">
        <v>68</v>
      </c>
      <c r="E42" s="22">
        <v>25</v>
      </c>
      <c r="F42" s="22">
        <v>8</v>
      </c>
      <c r="G42" s="36" t="s">
        <v>39</v>
      </c>
      <c r="H42" s="38" t="s">
        <v>63</v>
      </c>
      <c r="I42" s="22" t="s">
        <v>46</v>
      </c>
      <c r="J42" s="22">
        <v>2.7</v>
      </c>
      <c r="K42" s="22">
        <v>0.8</v>
      </c>
      <c r="L42" s="22">
        <v>6</v>
      </c>
      <c r="M42" s="24">
        <f t="shared" si="0"/>
        <v>0.75</v>
      </c>
      <c r="N42" s="25">
        <f t="shared" si="14"/>
        <v>2.7</v>
      </c>
      <c r="O42" s="25">
        <f t="shared" si="14"/>
        <v>0.8</v>
      </c>
      <c r="P42" s="25">
        <v>0.54</v>
      </c>
      <c r="Q42" s="22" t="s">
        <v>36</v>
      </c>
      <c r="R42" s="25">
        <f t="shared" si="15"/>
        <v>1.1664000000000001</v>
      </c>
      <c r="S42" s="22">
        <f t="shared" si="1"/>
        <v>2.7</v>
      </c>
      <c r="T42" s="22">
        <f t="shared" si="1"/>
        <v>0.8</v>
      </c>
      <c r="U42" s="22">
        <f t="shared" si="13"/>
        <v>0.56999999999999995</v>
      </c>
      <c r="V42" s="22">
        <f t="shared" si="2"/>
        <v>0.8</v>
      </c>
      <c r="W42" s="22">
        <f t="shared" si="3"/>
        <v>1.37</v>
      </c>
      <c r="X42" s="25">
        <f t="shared" si="4"/>
        <v>73.980000000000018</v>
      </c>
      <c r="Y42" s="26">
        <v>1</v>
      </c>
      <c r="Z42" s="27">
        <f t="shared" si="5"/>
        <v>200</v>
      </c>
      <c r="AA42" s="25">
        <f t="shared" si="6"/>
        <v>12.96</v>
      </c>
      <c r="AB42" s="28">
        <f t="shared" si="7"/>
        <v>248.85359999999997</v>
      </c>
      <c r="AC42" s="26">
        <f t="shared" si="8"/>
        <v>0.32067046649114178</v>
      </c>
      <c r="AD42" s="29">
        <v>79.8</v>
      </c>
      <c r="AE42" s="26">
        <f t="shared" si="9"/>
        <v>0.67932953350885816</v>
      </c>
      <c r="AF42" s="29">
        <f t="shared" si="10"/>
        <v>169.05359999999996</v>
      </c>
      <c r="AG42" s="30"/>
      <c r="AH42" s="31">
        <f t="shared" si="11"/>
        <v>1.2442679999999999</v>
      </c>
      <c r="AI42" s="32" t="s">
        <v>75</v>
      </c>
      <c r="AJ42" s="34" t="s">
        <v>38</v>
      </c>
      <c r="AK42" s="34" t="s">
        <v>41</v>
      </c>
      <c r="AL42" s="34" t="s">
        <v>45</v>
      </c>
    </row>
    <row r="43" spans="2:38" x14ac:dyDescent="0.35">
      <c r="B43" s="21">
        <v>38</v>
      </c>
      <c r="C43" s="22"/>
      <c r="D43" s="39" t="s">
        <v>68</v>
      </c>
      <c r="E43" s="22">
        <v>26</v>
      </c>
      <c r="F43" s="22">
        <v>8</v>
      </c>
      <c r="G43" s="36" t="s">
        <v>39</v>
      </c>
      <c r="H43" s="38" t="s">
        <v>63</v>
      </c>
      <c r="I43" s="22" t="s">
        <v>46</v>
      </c>
      <c r="J43" s="22">
        <v>2.7</v>
      </c>
      <c r="K43" s="22">
        <v>0.8</v>
      </c>
      <c r="L43" s="22">
        <v>6</v>
      </c>
      <c r="M43" s="24">
        <f t="shared" si="0"/>
        <v>0.75</v>
      </c>
      <c r="N43" s="25">
        <f t="shared" si="14"/>
        <v>2.7</v>
      </c>
      <c r="O43" s="25">
        <f t="shared" si="14"/>
        <v>0.8</v>
      </c>
      <c r="P43" s="25">
        <v>0.54</v>
      </c>
      <c r="Q43" s="22" t="s">
        <v>36</v>
      </c>
      <c r="R43" s="25">
        <f t="shared" si="15"/>
        <v>1.1664000000000001</v>
      </c>
      <c r="S43" s="22">
        <f t="shared" si="1"/>
        <v>2.7</v>
      </c>
      <c r="T43" s="22">
        <f t="shared" si="1"/>
        <v>0.8</v>
      </c>
      <c r="U43" s="22">
        <f t="shared" si="13"/>
        <v>0.56999999999999995</v>
      </c>
      <c r="V43" s="22">
        <f t="shared" si="2"/>
        <v>0.8</v>
      </c>
      <c r="W43" s="22">
        <f t="shared" si="3"/>
        <v>1.37</v>
      </c>
      <c r="X43" s="25">
        <f t="shared" si="4"/>
        <v>76.939200000000014</v>
      </c>
      <c r="Y43" s="26">
        <v>1</v>
      </c>
      <c r="Z43" s="27">
        <f t="shared" si="5"/>
        <v>208</v>
      </c>
      <c r="AA43" s="25">
        <f t="shared" si="6"/>
        <v>12.96</v>
      </c>
      <c r="AB43" s="28">
        <f t="shared" si="7"/>
        <v>258.8544</v>
      </c>
      <c r="AC43" s="26">
        <f t="shared" si="8"/>
        <v>0.46435370617613608</v>
      </c>
      <c r="AD43" s="29">
        <v>120.2</v>
      </c>
      <c r="AE43" s="26">
        <f t="shared" si="9"/>
        <v>0.53564629382386397</v>
      </c>
      <c r="AF43" s="29">
        <f t="shared" si="10"/>
        <v>138.65440000000001</v>
      </c>
      <c r="AG43" s="30"/>
      <c r="AH43" s="31">
        <f t="shared" si="11"/>
        <v>1.2444923076923078</v>
      </c>
      <c r="AI43" s="32" t="s">
        <v>75</v>
      </c>
      <c r="AJ43" s="34" t="s">
        <v>38</v>
      </c>
      <c r="AK43" s="34" t="s">
        <v>41</v>
      </c>
      <c r="AL43" s="34" t="s">
        <v>45</v>
      </c>
    </row>
    <row r="44" spans="2:38" x14ac:dyDescent="0.35">
      <c r="B44" s="21">
        <v>39</v>
      </c>
      <c r="C44" s="22"/>
      <c r="D44" s="39" t="s">
        <v>68</v>
      </c>
      <c r="E44" s="22">
        <v>24</v>
      </c>
      <c r="F44" s="22">
        <v>8</v>
      </c>
      <c r="G44" s="36" t="s">
        <v>39</v>
      </c>
      <c r="H44" s="38" t="s">
        <v>63</v>
      </c>
      <c r="I44" s="22" t="s">
        <v>46</v>
      </c>
      <c r="J44" s="22">
        <v>2.7</v>
      </c>
      <c r="K44" s="22">
        <v>0.8</v>
      </c>
      <c r="L44" s="22">
        <v>6</v>
      </c>
      <c r="M44" s="24">
        <f t="shared" si="0"/>
        <v>0.75</v>
      </c>
      <c r="N44" s="25">
        <f t="shared" si="14"/>
        <v>2.7</v>
      </c>
      <c r="O44" s="25">
        <f t="shared" si="14"/>
        <v>0.8</v>
      </c>
      <c r="P44" s="25">
        <v>0.54</v>
      </c>
      <c r="Q44" s="22" t="s">
        <v>36</v>
      </c>
      <c r="R44" s="25">
        <f t="shared" si="15"/>
        <v>1.1664000000000001</v>
      </c>
      <c r="S44" s="22">
        <f t="shared" si="1"/>
        <v>2.7</v>
      </c>
      <c r="T44" s="22">
        <f t="shared" si="1"/>
        <v>0.8</v>
      </c>
      <c r="U44" s="22">
        <f t="shared" si="13"/>
        <v>0.56999999999999995</v>
      </c>
      <c r="V44" s="22">
        <f t="shared" si="2"/>
        <v>0.8</v>
      </c>
      <c r="W44" s="22">
        <f t="shared" si="3"/>
        <v>1.37</v>
      </c>
      <c r="X44" s="25">
        <f t="shared" si="4"/>
        <v>71.020800000000008</v>
      </c>
      <c r="Y44" s="26">
        <v>1</v>
      </c>
      <c r="Z44" s="27">
        <f t="shared" si="5"/>
        <v>192</v>
      </c>
      <c r="AA44" s="25">
        <f t="shared" si="6"/>
        <v>12.96</v>
      </c>
      <c r="AB44" s="28">
        <f t="shared" si="7"/>
        <v>238.85280000000006</v>
      </c>
      <c r="AC44" s="26">
        <f t="shared" si="8"/>
        <v>0.39229182157378928</v>
      </c>
      <c r="AD44" s="29">
        <v>93.7</v>
      </c>
      <c r="AE44" s="26">
        <f t="shared" si="9"/>
        <v>0.60770817842621072</v>
      </c>
      <c r="AF44" s="29">
        <f t="shared" si="10"/>
        <v>145.15280000000007</v>
      </c>
      <c r="AG44" s="30"/>
      <c r="AH44" s="31">
        <f t="shared" si="11"/>
        <v>1.2440250000000004</v>
      </c>
      <c r="AI44" s="32" t="s">
        <v>75</v>
      </c>
      <c r="AJ44" s="34" t="s">
        <v>38</v>
      </c>
      <c r="AK44" s="34" t="s">
        <v>41</v>
      </c>
      <c r="AL44" s="34" t="s">
        <v>45</v>
      </c>
    </row>
    <row r="45" spans="2:38" ht="15" customHeight="1" x14ac:dyDescent="0.35">
      <c r="B45" s="21">
        <v>40</v>
      </c>
      <c r="C45" s="22"/>
      <c r="D45" s="39" t="s">
        <v>68</v>
      </c>
      <c r="E45" s="22">
        <v>25</v>
      </c>
      <c r="F45" s="22">
        <v>8</v>
      </c>
      <c r="G45" s="36" t="s">
        <v>39</v>
      </c>
      <c r="H45" s="38" t="s">
        <v>63</v>
      </c>
      <c r="I45" s="22" t="s">
        <v>46</v>
      </c>
      <c r="J45" s="22">
        <v>2.7</v>
      </c>
      <c r="K45" s="22">
        <v>0.8</v>
      </c>
      <c r="L45" s="22">
        <v>6</v>
      </c>
      <c r="M45" s="24">
        <f t="shared" si="0"/>
        <v>0.75</v>
      </c>
      <c r="N45" s="25">
        <f t="shared" si="14"/>
        <v>2.7</v>
      </c>
      <c r="O45" s="25">
        <f t="shared" si="14"/>
        <v>0.8</v>
      </c>
      <c r="P45" s="25">
        <v>0.54</v>
      </c>
      <c r="Q45" s="22" t="s">
        <v>36</v>
      </c>
      <c r="R45" s="25">
        <f t="shared" si="15"/>
        <v>1.1664000000000001</v>
      </c>
      <c r="S45" s="22">
        <f t="shared" si="1"/>
        <v>2.7</v>
      </c>
      <c r="T45" s="22">
        <f t="shared" si="1"/>
        <v>0.8</v>
      </c>
      <c r="U45" s="22">
        <f t="shared" si="13"/>
        <v>0.56999999999999995</v>
      </c>
      <c r="V45" s="22">
        <f t="shared" si="2"/>
        <v>0.8</v>
      </c>
      <c r="W45" s="22">
        <f t="shared" si="3"/>
        <v>1.37</v>
      </c>
      <c r="X45" s="25">
        <f t="shared" si="4"/>
        <v>73.980000000000018</v>
      </c>
      <c r="Y45" s="26">
        <v>1</v>
      </c>
      <c r="Z45" s="27">
        <f t="shared" si="5"/>
        <v>200</v>
      </c>
      <c r="AA45" s="25">
        <f t="shared" si="6"/>
        <v>12.96</v>
      </c>
      <c r="AB45" s="28">
        <f t="shared" si="7"/>
        <v>248.85359999999997</v>
      </c>
      <c r="AC45" s="26">
        <f t="shared" si="8"/>
        <v>0.46533383483301027</v>
      </c>
      <c r="AD45" s="29">
        <v>115.8</v>
      </c>
      <c r="AE45" s="26">
        <f t="shared" si="9"/>
        <v>0.53466616516698962</v>
      </c>
      <c r="AF45" s="29">
        <f t="shared" si="10"/>
        <v>133.05359999999996</v>
      </c>
      <c r="AG45" s="30"/>
      <c r="AH45" s="31">
        <f t="shared" si="11"/>
        <v>1.2442679999999999</v>
      </c>
      <c r="AI45" s="32" t="s">
        <v>75</v>
      </c>
      <c r="AJ45" s="34" t="s">
        <v>38</v>
      </c>
      <c r="AK45" s="34" t="s">
        <v>41</v>
      </c>
      <c r="AL45" s="34" t="s">
        <v>45</v>
      </c>
    </row>
    <row r="46" spans="2:38" x14ac:dyDescent="0.35">
      <c r="B46" s="21">
        <v>41</v>
      </c>
      <c r="C46" s="22"/>
      <c r="D46" s="39" t="s">
        <v>68</v>
      </c>
      <c r="E46" s="22">
        <v>25</v>
      </c>
      <c r="F46" s="22">
        <v>8</v>
      </c>
      <c r="G46" s="36" t="s">
        <v>39</v>
      </c>
      <c r="H46" s="38" t="s">
        <v>63</v>
      </c>
      <c r="I46" s="22" t="s">
        <v>46</v>
      </c>
      <c r="J46" s="22">
        <v>2.7</v>
      </c>
      <c r="K46" s="22">
        <v>0.8</v>
      </c>
      <c r="L46" s="22">
        <v>6</v>
      </c>
      <c r="M46" s="24">
        <f t="shared" si="0"/>
        <v>0.75</v>
      </c>
      <c r="N46" s="25">
        <f t="shared" si="14"/>
        <v>2.7</v>
      </c>
      <c r="O46" s="25">
        <f t="shared" si="14"/>
        <v>0.8</v>
      </c>
      <c r="P46" s="25">
        <v>0.54</v>
      </c>
      <c r="Q46" s="22" t="s">
        <v>36</v>
      </c>
      <c r="R46" s="25">
        <f t="shared" si="15"/>
        <v>1.1664000000000001</v>
      </c>
      <c r="S46" s="22">
        <f t="shared" si="1"/>
        <v>2.7</v>
      </c>
      <c r="T46" s="22">
        <f t="shared" si="1"/>
        <v>0.8</v>
      </c>
      <c r="U46" s="22">
        <f t="shared" si="13"/>
        <v>0.56999999999999995</v>
      </c>
      <c r="V46" s="22">
        <f t="shared" si="2"/>
        <v>0.8</v>
      </c>
      <c r="W46" s="22">
        <f t="shared" si="3"/>
        <v>1.37</v>
      </c>
      <c r="X46" s="25">
        <f t="shared" si="4"/>
        <v>73.980000000000018</v>
      </c>
      <c r="Y46" s="26">
        <v>1</v>
      </c>
      <c r="Z46" s="27">
        <f t="shared" si="5"/>
        <v>200</v>
      </c>
      <c r="AA46" s="25">
        <f t="shared" si="6"/>
        <v>12.96</v>
      </c>
      <c r="AB46" s="28">
        <f t="shared" si="7"/>
        <v>248.85359999999997</v>
      </c>
      <c r="AC46" s="26">
        <f t="shared" si="8"/>
        <v>0.70121549376822367</v>
      </c>
      <c r="AD46" s="29">
        <v>174.5</v>
      </c>
      <c r="AE46" s="26">
        <f t="shared" si="9"/>
        <v>0.29878450623177638</v>
      </c>
      <c r="AF46" s="29">
        <f t="shared" si="10"/>
        <v>74.353599999999972</v>
      </c>
      <c r="AG46" s="30"/>
      <c r="AH46" s="31">
        <f t="shared" si="11"/>
        <v>1.2442679999999999</v>
      </c>
      <c r="AI46" s="32" t="s">
        <v>76</v>
      </c>
      <c r="AJ46" s="34" t="s">
        <v>38</v>
      </c>
      <c r="AK46" s="34" t="s">
        <v>41</v>
      </c>
      <c r="AL46" s="34" t="s">
        <v>45</v>
      </c>
    </row>
    <row r="47" spans="2:38" x14ac:dyDescent="0.35">
      <c r="B47" s="21">
        <v>42</v>
      </c>
      <c r="C47" s="22"/>
      <c r="D47" s="39" t="s">
        <v>68</v>
      </c>
      <c r="E47" s="22">
        <v>26</v>
      </c>
      <c r="F47" s="22">
        <v>8</v>
      </c>
      <c r="G47" s="36" t="s">
        <v>39</v>
      </c>
      <c r="H47" s="38" t="s">
        <v>63</v>
      </c>
      <c r="I47" s="22" t="s">
        <v>46</v>
      </c>
      <c r="J47" s="22">
        <v>2.7</v>
      </c>
      <c r="K47" s="22">
        <v>0.8</v>
      </c>
      <c r="L47" s="22">
        <v>6</v>
      </c>
      <c r="M47" s="24">
        <f t="shared" si="0"/>
        <v>0.75</v>
      </c>
      <c r="N47" s="25">
        <f t="shared" si="14"/>
        <v>2.7</v>
      </c>
      <c r="O47" s="25">
        <f t="shared" si="14"/>
        <v>0.8</v>
      </c>
      <c r="P47" s="25">
        <v>0.54</v>
      </c>
      <c r="Q47" s="22" t="s">
        <v>36</v>
      </c>
      <c r="R47" s="25">
        <f t="shared" si="15"/>
        <v>1.1664000000000001</v>
      </c>
      <c r="S47" s="22">
        <f t="shared" si="1"/>
        <v>2.7</v>
      </c>
      <c r="T47" s="22">
        <f t="shared" si="1"/>
        <v>0.8</v>
      </c>
      <c r="U47" s="22">
        <f t="shared" si="13"/>
        <v>0.56999999999999995</v>
      </c>
      <c r="V47" s="22">
        <f t="shared" si="2"/>
        <v>0.8</v>
      </c>
      <c r="W47" s="22">
        <f t="shared" si="3"/>
        <v>1.37</v>
      </c>
      <c r="X47" s="25">
        <f t="shared" si="4"/>
        <v>76.939200000000014</v>
      </c>
      <c r="Y47" s="26">
        <v>1</v>
      </c>
      <c r="Z47" s="27">
        <f t="shared" si="5"/>
        <v>208</v>
      </c>
      <c r="AA47" s="25">
        <f t="shared" si="6"/>
        <v>12.96</v>
      </c>
      <c r="AB47" s="28">
        <f t="shared" si="7"/>
        <v>258.8544</v>
      </c>
      <c r="AC47" s="26">
        <f>AD47/AB47</f>
        <v>0.69382633634970081</v>
      </c>
      <c r="AD47" s="29">
        <v>179.6</v>
      </c>
      <c r="AE47" s="26">
        <f t="shared" si="9"/>
        <v>0.30617366365029919</v>
      </c>
      <c r="AF47" s="29">
        <f t="shared" si="10"/>
        <v>79.254400000000004</v>
      </c>
      <c r="AG47" s="30"/>
      <c r="AH47" s="31">
        <f t="shared" si="11"/>
        <v>1.2444923076923078</v>
      </c>
      <c r="AI47" s="40" t="s">
        <v>77</v>
      </c>
      <c r="AJ47" s="34" t="s">
        <v>38</v>
      </c>
      <c r="AK47" s="34" t="s">
        <v>41</v>
      </c>
      <c r="AL47" s="34" t="s">
        <v>45</v>
      </c>
    </row>
    <row r="48" spans="2:38" x14ac:dyDescent="0.35">
      <c r="B48" s="21">
        <v>43</v>
      </c>
      <c r="C48" s="22"/>
      <c r="D48" s="39" t="s">
        <v>68</v>
      </c>
      <c r="E48" s="22">
        <v>24</v>
      </c>
      <c r="F48" s="22">
        <v>8</v>
      </c>
      <c r="G48" s="36" t="s">
        <v>39</v>
      </c>
      <c r="H48" s="38" t="s">
        <v>63</v>
      </c>
      <c r="I48" s="22" t="s">
        <v>35</v>
      </c>
      <c r="J48" s="22">
        <v>2.7</v>
      </c>
      <c r="K48" s="22">
        <v>0.8</v>
      </c>
      <c r="L48" s="22">
        <v>6</v>
      </c>
      <c r="M48" s="24">
        <f t="shared" si="0"/>
        <v>0.75</v>
      </c>
      <c r="N48" s="25">
        <f t="shared" si="14"/>
        <v>2.7</v>
      </c>
      <c r="O48" s="25">
        <f t="shared" si="14"/>
        <v>0.8</v>
      </c>
      <c r="P48" s="25">
        <v>0.54</v>
      </c>
      <c r="Q48" s="22" t="s">
        <v>36</v>
      </c>
      <c r="R48" s="25">
        <f t="shared" si="15"/>
        <v>1.1664000000000001</v>
      </c>
      <c r="S48" s="22">
        <f t="shared" si="1"/>
        <v>2.7</v>
      </c>
      <c r="T48" s="22">
        <f t="shared" si="1"/>
        <v>0.8</v>
      </c>
      <c r="U48" s="22">
        <f t="shared" si="13"/>
        <v>0.56999999999999995</v>
      </c>
      <c r="V48" s="22">
        <f t="shared" si="2"/>
        <v>0.8</v>
      </c>
      <c r="W48" s="22">
        <f t="shared" si="3"/>
        <v>1.37</v>
      </c>
      <c r="X48" s="25">
        <f t="shared" si="4"/>
        <v>71.020800000000008</v>
      </c>
      <c r="Y48" s="26">
        <v>1</v>
      </c>
      <c r="Z48" s="27">
        <f t="shared" si="5"/>
        <v>192</v>
      </c>
      <c r="AA48" s="25">
        <f t="shared" si="6"/>
        <v>12.96</v>
      </c>
      <c r="AB48" s="28">
        <f t="shared" si="7"/>
        <v>238.85280000000006</v>
      </c>
      <c r="AC48" s="26">
        <f t="shared" si="8"/>
        <v>0.64558590060489118</v>
      </c>
      <c r="AD48" s="29">
        <v>154.19999999999999</v>
      </c>
      <c r="AE48" s="26">
        <f t="shared" si="9"/>
        <v>0.35441409939510882</v>
      </c>
      <c r="AF48" s="29">
        <f t="shared" si="10"/>
        <v>84.65280000000007</v>
      </c>
      <c r="AG48" s="30"/>
      <c r="AH48" s="31">
        <f t="shared" si="11"/>
        <v>1.2440250000000004</v>
      </c>
      <c r="AI48" s="40" t="s">
        <v>77</v>
      </c>
      <c r="AJ48" s="34" t="s">
        <v>38</v>
      </c>
      <c r="AK48" s="34" t="s">
        <v>41</v>
      </c>
      <c r="AL48" s="34" t="s">
        <v>45</v>
      </c>
    </row>
    <row r="49" spans="2:38" ht="43.5" x14ac:dyDescent="0.35">
      <c r="B49" s="21">
        <v>44</v>
      </c>
      <c r="C49" s="22"/>
      <c r="D49" s="39" t="s">
        <v>68</v>
      </c>
      <c r="E49" s="22">
        <v>24</v>
      </c>
      <c r="F49" s="22">
        <v>7</v>
      </c>
      <c r="G49" s="36" t="s">
        <v>39</v>
      </c>
      <c r="H49" s="38" t="s">
        <v>63</v>
      </c>
      <c r="I49" s="22" t="s">
        <v>35</v>
      </c>
      <c r="J49" s="22">
        <v>2.7</v>
      </c>
      <c r="K49" s="22">
        <v>0.8</v>
      </c>
      <c r="L49" s="22">
        <f>6-0.54</f>
        <v>5.46</v>
      </c>
      <c r="M49" s="24">
        <f t="shared" si="0"/>
        <v>0.78</v>
      </c>
      <c r="N49" s="25"/>
      <c r="O49" s="25"/>
      <c r="P49" s="25"/>
      <c r="Q49" s="22"/>
      <c r="R49" s="25"/>
      <c r="S49" s="22">
        <f t="shared" si="1"/>
        <v>2.7</v>
      </c>
      <c r="T49" s="22">
        <f t="shared" si="1"/>
        <v>0.8</v>
      </c>
      <c r="U49" s="22">
        <f t="shared" si="13"/>
        <v>0.51</v>
      </c>
      <c r="V49" s="22">
        <f t="shared" si="2"/>
        <v>0.7</v>
      </c>
      <c r="W49" s="22">
        <f t="shared" si="3"/>
        <v>1.21</v>
      </c>
      <c r="X49" s="25">
        <f t="shared" si="4"/>
        <v>62.726399999999998</v>
      </c>
      <c r="Y49" s="26">
        <v>1</v>
      </c>
      <c r="Z49" s="27">
        <f t="shared" si="5"/>
        <v>168</v>
      </c>
      <c r="AA49" s="25">
        <f t="shared" si="6"/>
        <v>11.793600000000001</v>
      </c>
      <c r="AB49" s="28">
        <f t="shared" si="7"/>
        <v>220.32000000000005</v>
      </c>
      <c r="AC49" s="26">
        <f t="shared" si="8"/>
        <v>0.85012708787218572</v>
      </c>
      <c r="AD49" s="29">
        <v>187.3</v>
      </c>
      <c r="AE49" s="26">
        <f t="shared" si="9"/>
        <v>0.14987291212781423</v>
      </c>
      <c r="AF49" s="29">
        <f t="shared" si="10"/>
        <v>33.020000000000039</v>
      </c>
      <c r="AG49" s="30"/>
      <c r="AH49" s="31">
        <f t="shared" si="11"/>
        <v>1.3114285714285718</v>
      </c>
      <c r="AI49" s="32" t="s">
        <v>78</v>
      </c>
      <c r="AJ49" s="34" t="s">
        <v>38</v>
      </c>
      <c r="AK49" s="34" t="s">
        <v>51</v>
      </c>
      <c r="AL49" s="34" t="s">
        <v>52</v>
      </c>
    </row>
    <row r="50" spans="2:38" x14ac:dyDescent="0.35">
      <c r="B50" s="21">
        <v>45</v>
      </c>
      <c r="C50" s="22"/>
      <c r="D50" s="23" t="s">
        <v>32</v>
      </c>
      <c r="E50" s="22">
        <v>3</v>
      </c>
      <c r="F50" s="22">
        <v>6</v>
      </c>
      <c r="G50" s="36" t="s">
        <v>39</v>
      </c>
      <c r="H50" s="38" t="s">
        <v>63</v>
      </c>
      <c r="I50" s="22" t="s">
        <v>79</v>
      </c>
      <c r="J50" s="22">
        <v>2.7</v>
      </c>
      <c r="K50" s="25">
        <v>1</v>
      </c>
      <c r="L50" s="22">
        <v>3</v>
      </c>
      <c r="M50" s="24">
        <f t="shared" si="0"/>
        <v>0.5</v>
      </c>
      <c r="N50" s="25"/>
      <c r="O50" s="25"/>
      <c r="P50" s="25"/>
      <c r="Q50" s="22"/>
      <c r="R50" s="25"/>
      <c r="S50" s="22">
        <f t="shared" si="1"/>
        <v>2.7</v>
      </c>
      <c r="T50" s="22">
        <f t="shared" si="1"/>
        <v>1</v>
      </c>
      <c r="U50" s="22">
        <f>(F50*25)/100</f>
        <v>1.5</v>
      </c>
      <c r="V50" s="22">
        <f t="shared" si="2"/>
        <v>0.6</v>
      </c>
      <c r="W50" s="22">
        <f t="shared" si="3"/>
        <v>2.1</v>
      </c>
      <c r="X50" s="25">
        <f t="shared" si="4"/>
        <v>17.010000000000002</v>
      </c>
      <c r="Y50" s="26">
        <v>1</v>
      </c>
      <c r="Z50" s="27">
        <f t="shared" si="5"/>
        <v>18</v>
      </c>
      <c r="AA50" s="25">
        <f t="shared" si="6"/>
        <v>8.1000000000000014</v>
      </c>
      <c r="AB50" s="28">
        <f t="shared" si="7"/>
        <v>7.2900000000000027</v>
      </c>
      <c r="AC50" s="26">
        <f t="shared" si="8"/>
        <v>1.6460905349794233</v>
      </c>
      <c r="AD50" s="29">
        <v>12</v>
      </c>
      <c r="AE50" s="26">
        <f t="shared" si="9"/>
        <v>-0.64609053497942326</v>
      </c>
      <c r="AF50" s="29">
        <f t="shared" si="10"/>
        <v>-4.7099999999999973</v>
      </c>
      <c r="AG50" s="30"/>
      <c r="AH50" s="31">
        <f t="shared" si="11"/>
        <v>0.40500000000000014</v>
      </c>
      <c r="AI50" s="32" t="s">
        <v>58</v>
      </c>
      <c r="AJ50" s="34" t="s">
        <v>53</v>
      </c>
      <c r="AK50" s="34" t="s">
        <v>54</v>
      </c>
      <c r="AL50" s="33" t="s">
        <v>80</v>
      </c>
    </row>
    <row r="51" spans="2:38" ht="29" x14ac:dyDescent="0.35">
      <c r="B51" s="21">
        <v>46</v>
      </c>
      <c r="C51" s="22"/>
      <c r="D51" s="23" t="s">
        <v>32</v>
      </c>
      <c r="E51" s="22">
        <v>3</v>
      </c>
      <c r="F51" s="22">
        <v>6</v>
      </c>
      <c r="G51" s="36" t="s">
        <v>39</v>
      </c>
      <c r="H51" s="38" t="s">
        <v>63</v>
      </c>
      <c r="I51" s="22" t="s">
        <v>79</v>
      </c>
      <c r="J51" s="22">
        <v>2.7</v>
      </c>
      <c r="K51" s="25">
        <v>1</v>
      </c>
      <c r="L51" s="22">
        <v>3</v>
      </c>
      <c r="M51" s="24">
        <f t="shared" si="0"/>
        <v>0.5</v>
      </c>
      <c r="N51" s="25"/>
      <c r="O51" s="25"/>
      <c r="P51" s="25"/>
      <c r="Q51" s="22"/>
      <c r="R51" s="25"/>
      <c r="S51" s="22">
        <f t="shared" si="1"/>
        <v>2.7</v>
      </c>
      <c r="T51" s="22">
        <f t="shared" si="1"/>
        <v>1</v>
      </c>
      <c r="U51" s="22">
        <f>(F51*25)/100</f>
        <v>1.5</v>
      </c>
      <c r="V51" s="22">
        <f t="shared" si="2"/>
        <v>0.6</v>
      </c>
      <c r="W51" s="22">
        <f t="shared" si="3"/>
        <v>2.1</v>
      </c>
      <c r="X51" s="25">
        <f t="shared" si="4"/>
        <v>17.010000000000002</v>
      </c>
      <c r="Y51" s="26">
        <v>1</v>
      </c>
      <c r="Z51" s="27">
        <f t="shared" si="5"/>
        <v>18</v>
      </c>
      <c r="AA51" s="25">
        <f t="shared" si="6"/>
        <v>8.1000000000000014</v>
      </c>
      <c r="AB51" s="28">
        <f t="shared" si="7"/>
        <v>7.2900000000000027</v>
      </c>
      <c r="AC51" s="26">
        <f t="shared" si="8"/>
        <v>1.2345679012345674</v>
      </c>
      <c r="AD51" s="29">
        <v>9</v>
      </c>
      <c r="AE51" s="26">
        <f t="shared" si="9"/>
        <v>-0.23456790123456744</v>
      </c>
      <c r="AF51" s="29">
        <f t="shared" si="10"/>
        <v>-1.7099999999999973</v>
      </c>
      <c r="AG51" s="30"/>
      <c r="AH51" s="31">
        <f t="shared" si="11"/>
        <v>0.40500000000000014</v>
      </c>
      <c r="AI51" s="32" t="s">
        <v>81</v>
      </c>
      <c r="AJ51" s="34" t="s">
        <v>53</v>
      </c>
      <c r="AK51" s="34" t="s">
        <v>54</v>
      </c>
      <c r="AL51" s="33" t="s">
        <v>80</v>
      </c>
    </row>
    <row r="52" spans="2:38" x14ac:dyDescent="0.35">
      <c r="B52" s="21">
        <v>47</v>
      </c>
      <c r="C52" s="22"/>
      <c r="D52" s="39" t="s">
        <v>68</v>
      </c>
      <c r="E52" s="22">
        <v>18</v>
      </c>
      <c r="F52" s="22">
        <v>7</v>
      </c>
      <c r="G52" s="36" t="s">
        <v>39</v>
      </c>
      <c r="H52" s="38" t="s">
        <v>63</v>
      </c>
      <c r="I52" s="22" t="s">
        <v>46</v>
      </c>
      <c r="J52" s="22">
        <v>2.7</v>
      </c>
      <c r="K52" s="22">
        <v>0.5</v>
      </c>
      <c r="L52" s="22">
        <f>6-0.54</f>
        <v>5.46</v>
      </c>
      <c r="M52" s="24">
        <f t="shared" si="0"/>
        <v>0.78</v>
      </c>
      <c r="N52" s="25">
        <f>0.9</f>
        <v>0.9</v>
      </c>
      <c r="O52" s="25">
        <v>0.5</v>
      </c>
      <c r="P52" s="25">
        <f>1.1</f>
        <v>1.1000000000000001</v>
      </c>
      <c r="Q52" s="22" t="s">
        <v>36</v>
      </c>
      <c r="R52" s="25">
        <f>N52*O52*P52</f>
        <v>0.49500000000000005</v>
      </c>
      <c r="S52" s="22">
        <f t="shared" si="1"/>
        <v>2.7</v>
      </c>
      <c r="T52" s="22">
        <f t="shared" si="1"/>
        <v>0.5</v>
      </c>
      <c r="U52" s="22">
        <f>(((F52-1)*6)+15)/100</f>
        <v>0.51</v>
      </c>
      <c r="V52" s="22">
        <f t="shared" si="2"/>
        <v>0.7</v>
      </c>
      <c r="W52" s="22">
        <f t="shared" si="3"/>
        <v>1.21</v>
      </c>
      <c r="X52" s="25">
        <f t="shared" si="4"/>
        <v>29.402999999999999</v>
      </c>
      <c r="Y52" s="26">
        <v>1</v>
      </c>
      <c r="Z52" s="27">
        <f t="shared" si="5"/>
        <v>126</v>
      </c>
      <c r="AA52" s="25">
        <f t="shared" si="6"/>
        <v>7.3710000000000004</v>
      </c>
      <c r="AB52" s="28">
        <f t="shared" si="7"/>
        <v>102.78</v>
      </c>
      <c r="AC52" s="26">
        <f t="shared" si="8"/>
        <v>0.79782058766296948</v>
      </c>
      <c r="AD52" s="29">
        <v>82</v>
      </c>
      <c r="AE52" s="26">
        <f t="shared" si="9"/>
        <v>0.20217941233703057</v>
      </c>
      <c r="AF52" s="29">
        <f t="shared" si="10"/>
        <v>20.78</v>
      </c>
      <c r="AG52" s="30"/>
      <c r="AH52" s="31">
        <f t="shared" si="11"/>
        <v>0.81571428571428573</v>
      </c>
      <c r="AI52" s="32" t="s">
        <v>82</v>
      </c>
      <c r="AJ52" s="34" t="s">
        <v>38</v>
      </c>
      <c r="AK52" s="34" t="s">
        <v>51</v>
      </c>
      <c r="AL52" s="34" t="s">
        <v>52</v>
      </c>
    </row>
    <row r="53" spans="2:38" x14ac:dyDescent="0.35">
      <c r="B53" s="21">
        <v>48</v>
      </c>
      <c r="C53" s="22" t="s">
        <v>83</v>
      </c>
      <c r="D53" s="23" t="s">
        <v>32</v>
      </c>
      <c r="E53" s="22">
        <v>8</v>
      </c>
      <c r="F53" s="22">
        <v>3</v>
      </c>
      <c r="G53" s="36" t="s">
        <v>33</v>
      </c>
      <c r="H53" s="38" t="s">
        <v>63</v>
      </c>
      <c r="I53" s="22" t="s">
        <v>35</v>
      </c>
      <c r="J53" s="22">
        <v>2.4</v>
      </c>
      <c r="K53" s="22">
        <v>1.2</v>
      </c>
      <c r="L53" s="22">
        <v>3</v>
      </c>
      <c r="M53" s="24">
        <f>L53/F53</f>
        <v>1</v>
      </c>
      <c r="N53" s="22"/>
      <c r="O53" s="22"/>
      <c r="P53" s="22"/>
      <c r="Q53" s="22"/>
      <c r="R53" s="22"/>
      <c r="S53" s="22">
        <f>J53</f>
        <v>2.4</v>
      </c>
      <c r="T53" s="22">
        <f>K53</f>
        <v>1.2</v>
      </c>
      <c r="U53" s="22">
        <f>(((F53-1)*6)+15)/100</f>
        <v>0.27</v>
      </c>
      <c r="V53" s="22">
        <f>F53*10/100</f>
        <v>0.3</v>
      </c>
      <c r="W53" s="22">
        <f>U53+V53</f>
        <v>0.57000000000000006</v>
      </c>
      <c r="X53" s="25">
        <f>S53*T53*W53*E53</f>
        <v>13.132800000000001</v>
      </c>
      <c r="Y53" s="26">
        <v>1</v>
      </c>
      <c r="Z53" s="27">
        <f>E53*F53</f>
        <v>24</v>
      </c>
      <c r="AA53" s="25">
        <f>J53*K53*L53</f>
        <v>8.64</v>
      </c>
      <c r="AB53" s="28">
        <f>(E53*J53*K53*L53*Y53)-R53-X53</f>
        <v>55.987200000000001</v>
      </c>
      <c r="AC53" s="26">
        <f>AD53/AB53</f>
        <v>1</v>
      </c>
      <c r="AD53" s="29">
        <f>AB53-AF53</f>
        <v>55.987200000000001</v>
      </c>
      <c r="AE53" s="26">
        <f>1-AC53</f>
        <v>0</v>
      </c>
      <c r="AF53" s="27">
        <v>0</v>
      </c>
      <c r="AG53" s="34"/>
      <c r="AH53" s="34"/>
      <c r="AI53" s="32" t="s">
        <v>84</v>
      </c>
      <c r="AJ53" s="34">
        <v>1</v>
      </c>
      <c r="AK53" s="34">
        <v>2</v>
      </c>
      <c r="AL53" s="34">
        <v>3</v>
      </c>
    </row>
    <row r="54" spans="2:38" ht="43.5" x14ac:dyDescent="0.35">
      <c r="B54" s="41">
        <v>49</v>
      </c>
      <c r="C54" s="34"/>
      <c r="D54" s="34"/>
      <c r="E54" s="34"/>
      <c r="F54" s="34">
        <v>3</v>
      </c>
      <c r="G54" s="34" t="s">
        <v>85</v>
      </c>
      <c r="H54" s="34" t="s">
        <v>63</v>
      </c>
      <c r="I54" s="22" t="s">
        <v>35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>
        <f>F54*10/100</f>
        <v>0.3</v>
      </c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2" t="s">
        <v>86</v>
      </c>
      <c r="AJ54" s="34">
        <v>1</v>
      </c>
      <c r="AK54" s="34">
        <v>2</v>
      </c>
      <c r="AL54" s="34">
        <v>3</v>
      </c>
    </row>
    <row r="55" spans="2:38" x14ac:dyDescent="0.35">
      <c r="B55" s="21">
        <v>50</v>
      </c>
      <c r="C55" s="22"/>
      <c r="D55" s="23" t="s">
        <v>32</v>
      </c>
      <c r="E55" s="22">
        <v>8</v>
      </c>
      <c r="F55" s="22">
        <v>3</v>
      </c>
      <c r="G55" s="36" t="s">
        <v>33</v>
      </c>
      <c r="H55" s="38" t="s">
        <v>87</v>
      </c>
      <c r="I55" s="22" t="s">
        <v>35</v>
      </c>
      <c r="J55" s="22">
        <v>2.7</v>
      </c>
      <c r="K55" s="22">
        <v>1.2</v>
      </c>
      <c r="L55" s="22">
        <v>4.5</v>
      </c>
      <c r="M55" s="24">
        <f t="shared" ref="M55:M60" si="16">L55/F55</f>
        <v>1.5</v>
      </c>
      <c r="N55" s="22"/>
      <c r="O55" s="22"/>
      <c r="P55" s="22"/>
      <c r="Q55" s="22"/>
      <c r="R55" s="22"/>
      <c r="S55" s="22">
        <f t="shared" ref="S55:T60" si="17">J55</f>
        <v>2.7</v>
      </c>
      <c r="T55" s="22">
        <f t="shared" si="17"/>
        <v>1.2</v>
      </c>
      <c r="U55" s="22">
        <f t="shared" ref="U55:U60" si="18">(((F55-1)*6)+15)/100</f>
        <v>0.27</v>
      </c>
      <c r="V55" s="22">
        <f t="shared" ref="V55:V60" si="19">F55*10/100</f>
        <v>0.3</v>
      </c>
      <c r="W55" s="22">
        <f t="shared" ref="W55:W60" si="20">U55+V55</f>
        <v>0.57000000000000006</v>
      </c>
      <c r="X55" s="25">
        <f t="shared" ref="X55:X60" si="21">S55*T55*W55*E55</f>
        <v>14.774400000000002</v>
      </c>
      <c r="Y55" s="26">
        <v>1</v>
      </c>
      <c r="Z55" s="27">
        <f t="shared" ref="Z55:Z60" si="22">E55*F55</f>
        <v>24</v>
      </c>
      <c r="AA55" s="25">
        <f t="shared" ref="AA55:AA60" si="23">J55*K55*L55</f>
        <v>14.580000000000002</v>
      </c>
      <c r="AB55" s="28">
        <f t="shared" ref="AB55:AB59" si="24">(E55*J55*K55*L55*Y55)-R55-X55</f>
        <v>101.86560000000001</v>
      </c>
      <c r="AC55" s="26">
        <f t="shared" ref="AC55:AC60" si="25">AD55/AB55</f>
        <v>0.74476172525366757</v>
      </c>
      <c r="AD55" s="29">
        <v>75.865600000000015</v>
      </c>
      <c r="AE55" s="42">
        <f>AF55/AB55</f>
        <v>0.25523827474633237</v>
      </c>
      <c r="AF55" s="29">
        <f t="shared" ref="AF55:AF60" si="26">AB55-AD55</f>
        <v>26</v>
      </c>
      <c r="AG55" s="30"/>
      <c r="AH55" s="25"/>
      <c r="AI55" s="32" t="s">
        <v>88</v>
      </c>
      <c r="AJ55" s="34">
        <v>1</v>
      </c>
      <c r="AK55" s="34">
        <v>2</v>
      </c>
      <c r="AL55" s="34">
        <v>3</v>
      </c>
    </row>
    <row r="56" spans="2:38" x14ac:dyDescent="0.35">
      <c r="B56" s="21">
        <v>51</v>
      </c>
      <c r="C56" s="22"/>
      <c r="D56" s="23" t="s">
        <v>32</v>
      </c>
      <c r="E56" s="22">
        <v>8</v>
      </c>
      <c r="F56" s="22">
        <v>3</v>
      </c>
      <c r="G56" s="36" t="s">
        <v>33</v>
      </c>
      <c r="H56" s="38" t="s">
        <v>87</v>
      </c>
      <c r="I56" s="22" t="s">
        <v>35</v>
      </c>
      <c r="J56" s="22">
        <v>2.7</v>
      </c>
      <c r="K56" s="22">
        <v>1.2</v>
      </c>
      <c r="L56" s="22">
        <v>4.5</v>
      </c>
      <c r="M56" s="24">
        <f t="shared" si="16"/>
        <v>1.5</v>
      </c>
      <c r="N56" s="22"/>
      <c r="O56" s="22"/>
      <c r="P56" s="22"/>
      <c r="Q56" s="22"/>
      <c r="R56" s="22"/>
      <c r="S56" s="22">
        <f t="shared" si="17"/>
        <v>2.7</v>
      </c>
      <c r="T56" s="22">
        <f t="shared" si="17"/>
        <v>1.2</v>
      </c>
      <c r="U56" s="22">
        <f t="shared" si="18"/>
        <v>0.27</v>
      </c>
      <c r="V56" s="22">
        <f t="shared" si="19"/>
        <v>0.3</v>
      </c>
      <c r="W56" s="22">
        <f t="shared" si="20"/>
        <v>0.57000000000000006</v>
      </c>
      <c r="X56" s="25">
        <f t="shared" si="21"/>
        <v>14.774400000000002</v>
      </c>
      <c r="Y56" s="26">
        <v>1</v>
      </c>
      <c r="Z56" s="27">
        <f t="shared" si="22"/>
        <v>24</v>
      </c>
      <c r="AA56" s="25">
        <f t="shared" si="23"/>
        <v>14.580000000000002</v>
      </c>
      <c r="AB56" s="28">
        <f t="shared" si="24"/>
        <v>101.86560000000001</v>
      </c>
      <c r="AC56" s="26">
        <f t="shared" si="25"/>
        <v>0.80366286557974431</v>
      </c>
      <c r="AD56" s="29">
        <v>81.865600000000015</v>
      </c>
      <c r="AE56" s="42">
        <f t="shared" ref="AE56:AE60" si="27">AF56/AB56</f>
        <v>0.19633713442025569</v>
      </c>
      <c r="AF56" s="29">
        <f t="shared" si="26"/>
        <v>20</v>
      </c>
      <c r="AG56" s="30"/>
      <c r="AH56" s="25"/>
      <c r="AI56" s="32" t="s">
        <v>88</v>
      </c>
      <c r="AJ56" s="34">
        <v>1</v>
      </c>
      <c r="AK56" s="34">
        <v>2</v>
      </c>
      <c r="AL56" s="34">
        <v>3</v>
      </c>
    </row>
    <row r="57" spans="2:38" x14ac:dyDescent="0.35">
      <c r="B57" s="21">
        <v>52</v>
      </c>
      <c r="C57" s="22"/>
      <c r="D57" s="23" t="s">
        <v>32</v>
      </c>
      <c r="E57" s="22">
        <v>8</v>
      </c>
      <c r="F57" s="22">
        <v>3</v>
      </c>
      <c r="G57" s="36" t="s">
        <v>33</v>
      </c>
      <c r="H57" s="38" t="s">
        <v>87</v>
      </c>
      <c r="I57" s="22" t="s">
        <v>35</v>
      </c>
      <c r="J57" s="22">
        <v>2.7</v>
      </c>
      <c r="K57" s="22">
        <v>1.2</v>
      </c>
      <c r="L57" s="22">
        <v>4.5</v>
      </c>
      <c r="M57" s="24">
        <f t="shared" si="16"/>
        <v>1.5</v>
      </c>
      <c r="N57" s="22"/>
      <c r="O57" s="22"/>
      <c r="P57" s="22"/>
      <c r="Q57" s="22"/>
      <c r="R57" s="22"/>
      <c r="S57" s="22">
        <f t="shared" si="17"/>
        <v>2.7</v>
      </c>
      <c r="T57" s="22">
        <f t="shared" si="17"/>
        <v>1.2</v>
      </c>
      <c r="U57" s="22">
        <f t="shared" si="18"/>
        <v>0.27</v>
      </c>
      <c r="V57" s="22">
        <f t="shared" si="19"/>
        <v>0.3</v>
      </c>
      <c r="W57" s="22">
        <f t="shared" si="20"/>
        <v>0.57000000000000006</v>
      </c>
      <c r="X57" s="25">
        <f t="shared" si="21"/>
        <v>14.774400000000002</v>
      </c>
      <c r="Y57" s="26">
        <v>1</v>
      </c>
      <c r="Z57" s="27">
        <f t="shared" si="22"/>
        <v>24</v>
      </c>
      <c r="AA57" s="25">
        <f t="shared" si="23"/>
        <v>14.580000000000002</v>
      </c>
      <c r="AB57" s="28">
        <f t="shared" si="24"/>
        <v>101.86560000000001</v>
      </c>
      <c r="AC57" s="26">
        <f t="shared" si="25"/>
        <v>0.73494486853265484</v>
      </c>
      <c r="AD57" s="29">
        <v>74.865600000000015</v>
      </c>
      <c r="AE57" s="42">
        <f t="shared" si="27"/>
        <v>0.26505513146734516</v>
      </c>
      <c r="AF57" s="29">
        <f t="shared" si="26"/>
        <v>27</v>
      </c>
      <c r="AG57" s="30"/>
      <c r="AH57" s="25"/>
      <c r="AI57" s="32" t="s">
        <v>88</v>
      </c>
      <c r="AJ57" s="34">
        <v>1</v>
      </c>
      <c r="AK57" s="34">
        <v>2</v>
      </c>
      <c r="AL57" s="34">
        <v>3</v>
      </c>
    </row>
    <row r="58" spans="2:38" x14ac:dyDescent="0.35">
      <c r="B58" s="21">
        <v>53</v>
      </c>
      <c r="C58" s="22"/>
      <c r="D58" s="23" t="s">
        <v>32</v>
      </c>
      <c r="E58" s="22">
        <v>11</v>
      </c>
      <c r="F58" s="22">
        <v>3</v>
      </c>
      <c r="G58" s="36" t="s">
        <v>33</v>
      </c>
      <c r="H58" s="38" t="s">
        <v>87</v>
      </c>
      <c r="I58" s="22" t="s">
        <v>35</v>
      </c>
      <c r="J58" s="22">
        <v>2.7</v>
      </c>
      <c r="K58" s="22">
        <v>1.2</v>
      </c>
      <c r="L58" s="22">
        <v>4.5</v>
      </c>
      <c r="M58" s="24">
        <f t="shared" si="16"/>
        <v>1.5</v>
      </c>
      <c r="N58" s="22"/>
      <c r="O58" s="22"/>
      <c r="P58" s="22"/>
      <c r="Q58" s="22"/>
      <c r="R58" s="22"/>
      <c r="S58" s="22">
        <f t="shared" si="17"/>
        <v>2.7</v>
      </c>
      <c r="T58" s="22">
        <f t="shared" si="17"/>
        <v>1.2</v>
      </c>
      <c r="U58" s="22">
        <f t="shared" si="18"/>
        <v>0.27</v>
      </c>
      <c r="V58" s="22">
        <f t="shared" si="19"/>
        <v>0.3</v>
      </c>
      <c r="W58" s="22">
        <f t="shared" si="20"/>
        <v>0.57000000000000006</v>
      </c>
      <c r="X58" s="25">
        <f t="shared" si="21"/>
        <v>20.314800000000002</v>
      </c>
      <c r="Y58" s="26">
        <v>1</v>
      </c>
      <c r="Z58" s="27">
        <f t="shared" si="22"/>
        <v>33</v>
      </c>
      <c r="AA58" s="25">
        <f t="shared" si="23"/>
        <v>14.580000000000002</v>
      </c>
      <c r="AB58" s="28">
        <f t="shared" si="24"/>
        <v>140.0652</v>
      </c>
      <c r="AC58" s="26">
        <f t="shared" si="25"/>
        <v>0.78581403517790283</v>
      </c>
      <c r="AD58" s="29">
        <v>110.0652</v>
      </c>
      <c r="AE58" s="42">
        <f t="shared" si="27"/>
        <v>0.21418596482209712</v>
      </c>
      <c r="AF58" s="29">
        <f t="shared" si="26"/>
        <v>30</v>
      </c>
      <c r="AG58" s="30"/>
      <c r="AH58" s="25"/>
      <c r="AI58" s="32" t="s">
        <v>88</v>
      </c>
      <c r="AJ58" s="34">
        <v>1</v>
      </c>
      <c r="AK58" s="34">
        <v>2</v>
      </c>
      <c r="AL58" s="34">
        <v>3</v>
      </c>
    </row>
    <row r="59" spans="2:38" x14ac:dyDescent="0.35">
      <c r="B59" s="21">
        <v>54</v>
      </c>
      <c r="C59" s="22"/>
      <c r="D59" s="23" t="s">
        <v>32</v>
      </c>
      <c r="E59" s="22">
        <v>11</v>
      </c>
      <c r="F59" s="22">
        <v>3</v>
      </c>
      <c r="G59" s="36" t="s">
        <v>33</v>
      </c>
      <c r="H59" s="38" t="s">
        <v>87</v>
      </c>
      <c r="I59" s="22" t="s">
        <v>35</v>
      </c>
      <c r="J59" s="22">
        <v>2.7</v>
      </c>
      <c r="K59" s="22">
        <v>1.2</v>
      </c>
      <c r="L59" s="22">
        <v>4.5</v>
      </c>
      <c r="M59" s="24">
        <f t="shared" si="16"/>
        <v>1.5</v>
      </c>
      <c r="N59" s="22"/>
      <c r="O59" s="22"/>
      <c r="P59" s="22"/>
      <c r="Q59" s="22"/>
      <c r="R59" s="22"/>
      <c r="S59" s="22">
        <f t="shared" si="17"/>
        <v>2.7</v>
      </c>
      <c r="T59" s="22">
        <f t="shared" si="17"/>
        <v>1.2</v>
      </c>
      <c r="U59" s="22">
        <f t="shared" si="18"/>
        <v>0.27</v>
      </c>
      <c r="V59" s="22">
        <f t="shared" si="19"/>
        <v>0.3</v>
      </c>
      <c r="W59" s="22">
        <f t="shared" si="20"/>
        <v>0.57000000000000006</v>
      </c>
      <c r="X59" s="25">
        <f t="shared" si="21"/>
        <v>20.314800000000002</v>
      </c>
      <c r="Y59" s="26">
        <v>1</v>
      </c>
      <c r="Z59" s="27">
        <f t="shared" si="22"/>
        <v>33</v>
      </c>
      <c r="AA59" s="25">
        <f t="shared" si="23"/>
        <v>14.580000000000002</v>
      </c>
      <c r="AB59" s="28">
        <f t="shared" si="24"/>
        <v>140.0652</v>
      </c>
      <c r="AC59" s="26">
        <f t="shared" si="25"/>
        <v>0.83579076030305888</v>
      </c>
      <c r="AD59" s="29">
        <v>117.0652</v>
      </c>
      <c r="AE59" s="42">
        <f t="shared" si="27"/>
        <v>0.16420923969694112</v>
      </c>
      <c r="AF59" s="29">
        <f t="shared" si="26"/>
        <v>23</v>
      </c>
      <c r="AG59" s="30"/>
      <c r="AH59" s="25"/>
      <c r="AI59" s="32" t="s">
        <v>88</v>
      </c>
      <c r="AJ59" s="34">
        <v>1</v>
      </c>
      <c r="AK59" s="34">
        <v>2</v>
      </c>
      <c r="AL59" s="34">
        <v>3</v>
      </c>
    </row>
    <row r="60" spans="2:38" x14ac:dyDescent="0.35">
      <c r="B60" s="21">
        <v>55</v>
      </c>
      <c r="C60" s="22"/>
      <c r="D60" s="23" t="s">
        <v>32</v>
      </c>
      <c r="E60" s="22">
        <v>11</v>
      </c>
      <c r="F60" s="22">
        <v>3</v>
      </c>
      <c r="G60" s="36" t="s">
        <v>33</v>
      </c>
      <c r="H60" s="38" t="s">
        <v>87</v>
      </c>
      <c r="I60" s="22" t="s">
        <v>35</v>
      </c>
      <c r="J60" s="22">
        <v>2.7</v>
      </c>
      <c r="K60" s="22">
        <v>1.2</v>
      </c>
      <c r="L60" s="22">
        <v>4.5</v>
      </c>
      <c r="M60" s="24">
        <f t="shared" si="16"/>
        <v>1.5</v>
      </c>
      <c r="N60" s="22"/>
      <c r="O60" s="22"/>
      <c r="P60" s="22"/>
      <c r="Q60" s="22"/>
      <c r="R60" s="22"/>
      <c r="S60" s="22">
        <f t="shared" si="17"/>
        <v>2.7</v>
      </c>
      <c r="T60" s="22">
        <f t="shared" si="17"/>
        <v>1.2</v>
      </c>
      <c r="U60" s="22">
        <f t="shared" si="18"/>
        <v>0.27</v>
      </c>
      <c r="V60" s="22">
        <f t="shared" si="19"/>
        <v>0.3</v>
      </c>
      <c r="W60" s="22">
        <f t="shared" si="20"/>
        <v>0.57000000000000006</v>
      </c>
      <c r="X60" s="25">
        <f t="shared" si="21"/>
        <v>20.314800000000002</v>
      </c>
      <c r="Y60" s="26">
        <v>1</v>
      </c>
      <c r="Z60" s="27">
        <f t="shared" si="22"/>
        <v>33</v>
      </c>
      <c r="AA60" s="25">
        <f t="shared" si="23"/>
        <v>14.580000000000002</v>
      </c>
      <c r="AB60" s="28">
        <f>(E60*J60*K60*L60*Y60)-R60-X60</f>
        <v>140.0652</v>
      </c>
      <c r="AC60" s="26">
        <f t="shared" si="25"/>
        <v>0.78581403517790283</v>
      </c>
      <c r="AD60" s="29">
        <v>110.0652</v>
      </c>
      <c r="AE60" s="42">
        <f t="shared" si="27"/>
        <v>0.21418596482209712</v>
      </c>
      <c r="AF60" s="29">
        <f t="shared" si="26"/>
        <v>30</v>
      </c>
      <c r="AG60" s="30"/>
      <c r="AH60" s="25"/>
      <c r="AI60" s="32" t="s">
        <v>88</v>
      </c>
      <c r="AJ60" s="34">
        <v>1</v>
      </c>
      <c r="AK60" s="34">
        <v>2</v>
      </c>
      <c r="AL60" s="34">
        <v>3</v>
      </c>
    </row>
  </sheetData>
  <autoFilter ref="B5:AI60" xr:uid="{8E773E1F-E88B-45D4-9400-CD1F4A63D9A3}">
    <filterColumn colId="27" showButton="0"/>
    <filterColumn colId="29" showButton="0"/>
  </autoFilter>
  <mergeCells count="16">
    <mergeCell ref="AA4:AA5"/>
    <mergeCell ref="AB4:AB5"/>
    <mergeCell ref="AC4:AD5"/>
    <mergeCell ref="AE4:AF5"/>
    <mergeCell ref="AI4:AI5"/>
    <mergeCell ref="AJ4:AL4"/>
    <mergeCell ref="B2:AL2"/>
    <mergeCell ref="B4:B5"/>
    <mergeCell ref="C4:C5"/>
    <mergeCell ref="D4:D5"/>
    <mergeCell ref="E4:E5"/>
    <mergeCell ref="F4:F5"/>
    <mergeCell ref="G4:G5"/>
    <mergeCell ref="H4:H5"/>
    <mergeCell ref="I4:I5"/>
    <mergeCell ref="Z4:Z5"/>
  </mergeCells>
  <conditionalFormatting sqref="AC6:AC52">
    <cfRule type="cellIs" dxfId="10" priority="9" operator="lessThanOrEqual">
      <formula>0.6</formula>
    </cfRule>
    <cfRule type="cellIs" dxfId="9" priority="10" operator="between">
      <formula>0.6</formula>
      <formula>0.86</formula>
    </cfRule>
    <cfRule type="cellIs" dxfId="8" priority="11" operator="greaterThanOrEqual">
      <formula>0.86</formula>
    </cfRule>
  </conditionalFormatting>
  <conditionalFormatting sqref="AE53">
    <cfRule type="cellIs" dxfId="7" priority="8" operator="greaterThan">
      <formula>0.4</formula>
    </cfRule>
  </conditionalFormatting>
  <conditionalFormatting sqref="AE53">
    <cfRule type="cellIs" dxfId="6" priority="7" operator="between">
      <formula>0.3</formula>
      <formula>0.4</formula>
    </cfRule>
  </conditionalFormatting>
  <conditionalFormatting sqref="AC53">
    <cfRule type="cellIs" dxfId="5" priority="4" operator="lessThanOrEqual">
      <formula>0.6</formula>
    </cfRule>
    <cfRule type="cellIs" dxfId="4" priority="5" operator="between">
      <formula>0.6</formula>
      <formula>0.86</formula>
    </cfRule>
    <cfRule type="cellIs" dxfId="3" priority="6" operator="greaterThanOrEqual">
      <formula>0.86</formula>
    </cfRule>
  </conditionalFormatting>
  <conditionalFormatting sqref="AC55:AC60">
    <cfRule type="cellIs" dxfId="2" priority="1" operator="lessThanOrEqual">
      <formula>0.6</formula>
    </cfRule>
    <cfRule type="cellIs" dxfId="1" priority="2" operator="between">
      <formula>0.6</formula>
      <formula>0.86</formula>
    </cfRule>
    <cfRule type="cellIs" dxfId="0" priority="3" operator="greaterThanOrEqual">
      <formula>0.86</formula>
    </cfRule>
  </conditionalFormatting>
  <hyperlinks>
    <hyperlink ref="B55:B60" location="'Rack Canopy '!A1" display="'Rack Canopy '!A1" xr:uid="{B31DF9DE-9F6F-481D-B5CC-72572723E3E6}"/>
    <hyperlink ref="B6:B24" location="'Lot 15'!A1" display="'Lot 15'!A1" xr:uid="{4BFC349A-54DA-4FCB-80EB-6046FBE56F74}"/>
    <hyperlink ref="B25:B54" location="'Lot 16'!A1" display="'Lot 16'!A1" xr:uid="{CEC936BF-52E8-4AB2-9C97-AA2CF3262AD5}"/>
  </hyperlinks>
  <pageMargins left="0.7" right="0.7" top="0.75" bottom="0.75" header="0.3" footer="0.3"/>
  <headerFooter>
    <oddFooter>&amp;C_x000D_&amp;1#&amp;"Calibri"&amp;6&amp;K626469 Public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Review.rev)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Noveri YENDRA</dc:creator>
  <cp:lastModifiedBy>Andika Noveri YENDRA</cp:lastModifiedBy>
  <dcterms:created xsi:type="dcterms:W3CDTF">2025-03-04T04:06:09Z</dcterms:created>
  <dcterms:modified xsi:type="dcterms:W3CDTF">2025-03-04T04:06:31Z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507802-f8e4-4e38-829c-ac8ea9b241e4_Enabled">
    <vt:lpwstr>true</vt:lpwstr>
  </property>
  <property fmtid="{D5CDD505-2E9C-101B-9397-08002B2CF9AE}" pid="3" name="MSIP_Label_23507802-f8e4-4e38-829c-ac8ea9b241e4_SetDate">
    <vt:lpwstr>2025-03-04T04:06:31Z</vt:lpwstr>
  </property>
  <property fmtid="{D5CDD505-2E9C-101B-9397-08002B2CF9AE}" pid="4" name="MSIP_Label_23507802-f8e4-4e38-829c-ac8ea9b241e4_Method">
    <vt:lpwstr>Privileged</vt:lpwstr>
  </property>
  <property fmtid="{D5CDD505-2E9C-101B-9397-08002B2CF9AE}" pid="5" name="MSIP_Label_23507802-f8e4-4e38-829c-ac8ea9b241e4_Name">
    <vt:lpwstr>Public v2</vt:lpwstr>
  </property>
  <property fmtid="{D5CDD505-2E9C-101B-9397-08002B2CF9AE}" pid="6" name="MSIP_Label_23507802-f8e4-4e38-829c-ac8ea9b241e4_SiteId">
    <vt:lpwstr>6e51e1ad-c54b-4b39-b598-0ffe9ae68fef</vt:lpwstr>
  </property>
  <property fmtid="{D5CDD505-2E9C-101B-9397-08002B2CF9AE}" pid="7" name="MSIP_Label_23507802-f8e4-4e38-829c-ac8ea9b241e4_ActionId">
    <vt:lpwstr>e07cabfd-fd84-4a1d-8a4e-f04a8b4d3129</vt:lpwstr>
  </property>
  <property fmtid="{D5CDD505-2E9C-101B-9397-08002B2CF9AE}" pid="8" name="MSIP_Label_23507802-f8e4-4e38-829c-ac8ea9b241e4_ContentBits">
    <vt:lpwstr>2</vt:lpwstr>
  </property>
</Properties>
</file>